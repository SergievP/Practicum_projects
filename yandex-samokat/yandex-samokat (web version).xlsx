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ladefremov/Documents/Тестирование/ЯндексПрактикум/Practicum_projects/yandex-samokat/"/>
    </mc:Choice>
  </mc:AlternateContent>
  <xr:revisionPtr revIDLastSave="0" documentId="13_ncr:1_{A30EF464-557A-F741-BBB6-69379F344FB9}" xr6:coauthVersionLast="47" xr6:coauthVersionMax="47" xr10:uidLastSave="{00000000-0000-0000-0000-000000000000}"/>
  <bookViews>
    <workbookView xWindow="480" yWindow="500" windowWidth="28320" windowHeight="17500" activeTab="3" xr2:uid="{00000000-000D-0000-FFFF-FFFF00000000}"/>
  </bookViews>
  <sheets>
    <sheet name="Чек-лист" sheetId="1" r:id="rId1"/>
    <sheet name="Данные валидации" sheetId="2" r:id="rId2"/>
    <sheet name="Баги вне тестовой документации" sheetId="5" r:id="rId3"/>
    <sheet name="Баг-репорты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05" i="2" l="1"/>
  <c r="D105" i="2"/>
  <c r="C105" i="2"/>
  <c r="E104" i="2"/>
  <c r="D104" i="2"/>
  <c r="C104" i="2"/>
  <c r="D103" i="2"/>
</calcChain>
</file>

<file path=xl/sharedStrings.xml><?xml version="1.0" encoding="utf-8"?>
<sst xmlns="http://schemas.openxmlformats.org/spreadsheetml/2006/main" count="1300" uniqueCount="520">
  <si>
    <r>
      <rPr>
        <sz val="11"/>
        <color theme="1"/>
        <rFont val="Arial"/>
        <family val="2"/>
      </rPr>
      <t xml:space="preserve">Чек-лист и результаты выполнения тестов: </t>
    </r>
    <r>
      <rPr>
        <b/>
        <sz val="11"/>
        <color theme="1"/>
        <rFont val="Arial"/>
        <family val="2"/>
      </rPr>
      <t xml:space="preserve">
тестирование экрана "Статус заказа"</t>
    </r>
  </si>
  <si>
    <t>№</t>
  </si>
  <si>
    <t>Описание проверки</t>
  </si>
  <si>
    <r>
      <rPr>
        <sz val="11"/>
        <color theme="1"/>
        <rFont val="Arial"/>
        <family val="2"/>
      </rPr>
      <t>Статус, Окружение:</t>
    </r>
    <r>
      <rPr>
        <b/>
        <sz val="11"/>
        <color theme="1"/>
        <rFont val="Arial"/>
        <family val="2"/>
      </rPr>
      <t xml:space="preserve">
Chrome
</t>
    </r>
    <r>
      <rPr>
        <sz val="11"/>
        <color theme="1"/>
        <rFont val="Arial"/>
        <family val="2"/>
      </rPr>
      <t xml:space="preserve">Версия: </t>
    </r>
    <r>
      <rPr>
        <b/>
        <sz val="11"/>
        <color theme="1"/>
        <rFont val="Arial"/>
        <family val="2"/>
      </rPr>
      <t xml:space="preserve">141.0.7390.123(arm64),
</t>
    </r>
    <r>
      <rPr>
        <sz val="11"/>
        <color theme="1"/>
        <rFont val="Arial"/>
        <family val="2"/>
      </rPr>
      <t xml:space="preserve">Разрешение экрана: </t>
    </r>
    <r>
      <rPr>
        <b/>
        <sz val="11"/>
        <color theme="1"/>
        <rFont val="Arial"/>
        <family val="2"/>
      </rPr>
      <t>1920×1080</t>
    </r>
  </si>
  <si>
    <r>
      <rPr>
        <sz val="11"/>
        <color theme="1"/>
        <rFont val="Arial"/>
        <family val="2"/>
      </rPr>
      <t>Статус, Окружение:</t>
    </r>
    <r>
      <rPr>
        <b/>
        <sz val="11"/>
        <color theme="1"/>
        <rFont val="Arial"/>
        <family val="2"/>
      </rPr>
      <t xml:space="preserve">
Яндекс.Браузер
</t>
    </r>
    <r>
      <rPr>
        <sz val="11"/>
        <color theme="1"/>
        <rFont val="Arial"/>
        <family val="2"/>
      </rPr>
      <t xml:space="preserve">Версия: 
</t>
    </r>
    <r>
      <rPr>
        <b/>
        <sz val="11"/>
        <color theme="1"/>
        <rFont val="Arial"/>
        <family val="2"/>
      </rPr>
      <t xml:space="preserve">25.8.5.892 (64-bit),
</t>
    </r>
    <r>
      <rPr>
        <sz val="11"/>
        <color theme="1"/>
        <rFont val="Arial"/>
        <family val="2"/>
      </rPr>
      <t xml:space="preserve">Разрешение экрана: </t>
    </r>
    <r>
      <rPr>
        <b/>
        <sz val="11"/>
        <color theme="1"/>
        <rFont val="Arial"/>
        <family val="2"/>
      </rPr>
      <t>1920×1080</t>
    </r>
  </si>
  <si>
    <r>
      <rPr>
        <sz val="11"/>
        <color theme="1"/>
        <rFont val="Arial"/>
        <family val="2"/>
      </rPr>
      <t>Статус, Окружение:</t>
    </r>
    <r>
      <rPr>
        <b/>
        <sz val="11"/>
        <color theme="1"/>
        <rFont val="Arial"/>
        <family val="2"/>
      </rPr>
      <t xml:space="preserve">
Chrome
</t>
    </r>
    <r>
      <rPr>
        <sz val="11"/>
        <color theme="1"/>
        <rFont val="Arial"/>
        <family val="2"/>
      </rPr>
      <t xml:space="preserve">Версия: </t>
    </r>
    <r>
      <rPr>
        <b/>
        <sz val="11"/>
        <color theme="1"/>
        <rFont val="Arial"/>
        <family val="2"/>
      </rPr>
      <t xml:space="preserve">141.0.7390.123(arm64),
</t>
    </r>
    <r>
      <rPr>
        <sz val="11"/>
        <color theme="1"/>
        <rFont val="Arial"/>
        <family val="2"/>
      </rPr>
      <t xml:space="preserve">Разрешение экрана: </t>
    </r>
    <r>
      <rPr>
        <b/>
        <sz val="11"/>
        <color theme="1"/>
        <rFont val="Arial"/>
        <family val="2"/>
      </rPr>
      <t>1280×720</t>
    </r>
  </si>
  <si>
    <r>
      <rPr>
        <sz val="11"/>
        <color theme="1"/>
        <rFont val="Arial"/>
        <family val="2"/>
      </rPr>
      <t>Статус, Окружение:</t>
    </r>
    <r>
      <rPr>
        <b/>
        <sz val="11"/>
        <color theme="1"/>
        <rFont val="Arial"/>
        <family val="2"/>
      </rPr>
      <t xml:space="preserve">
Яндекс.Браузер
</t>
    </r>
    <r>
      <rPr>
        <sz val="11"/>
        <color theme="1"/>
        <rFont val="Arial"/>
        <family val="2"/>
      </rPr>
      <t xml:space="preserve">Версия: 
</t>
    </r>
    <r>
      <rPr>
        <b/>
        <sz val="11"/>
        <color theme="1"/>
        <rFont val="Arial"/>
        <family val="2"/>
      </rPr>
      <t xml:space="preserve">25.8.5.892 (64-bit),
</t>
    </r>
    <r>
      <rPr>
        <sz val="11"/>
        <color theme="1"/>
        <rFont val="Arial"/>
        <family val="2"/>
      </rPr>
      <t xml:space="preserve">Разрешение экрана: </t>
    </r>
    <r>
      <rPr>
        <b/>
        <sz val="11"/>
        <color theme="1"/>
        <rFont val="Arial"/>
        <family val="2"/>
      </rPr>
      <t>1280×720</t>
    </r>
  </si>
  <si>
    <t>Ссылка на баг-репорт</t>
  </si>
  <si>
    <t>Комментарии</t>
  </si>
  <si>
    <t>Шапка сайта</t>
  </si>
  <si>
    <r>
      <rPr>
        <b/>
        <sz val="11"/>
        <color theme="1"/>
        <rFont val="Arial"/>
        <family val="2"/>
      </rPr>
      <t xml:space="preserve">Расположение логотипа "Яндекс Самокат Учебный тренажер"
</t>
    </r>
    <r>
      <rPr>
        <sz val="11"/>
        <color theme="1"/>
        <rFont val="Arial"/>
        <family val="2"/>
      </rPr>
      <t>Логотип расположен в левом верхнем углу</t>
    </r>
  </si>
  <si>
    <t>Passed</t>
  </si>
  <si>
    <r>
      <rPr>
        <b/>
        <sz val="11"/>
        <rFont val="Arial"/>
        <family val="2"/>
      </rPr>
      <t>Описание логотипа - "Яндекс"</t>
    </r>
    <r>
      <rPr>
        <sz val="11"/>
        <rFont val="Arial"/>
        <family val="2"/>
      </rPr>
      <t xml:space="preserve">
Имеет полужирное начертание, шрифт вытянутый и приплюснутый, цвет черный, содержит ссылку: </t>
    </r>
    <r>
      <rPr>
        <u/>
        <sz val="11"/>
        <color rgb="FF1155CC"/>
        <rFont val="Arial"/>
        <family val="2"/>
      </rPr>
      <t>https://dzen.ru/?yredirect=true</t>
    </r>
  </si>
  <si>
    <r>
      <rPr>
        <b/>
        <sz val="11"/>
        <color theme="1"/>
        <rFont val="Arial"/>
        <family val="2"/>
      </rPr>
      <t>Описание логотипа - "Самокат"</t>
    </r>
    <r>
      <rPr>
        <sz val="11"/>
        <color theme="1"/>
        <rFont val="Arial"/>
        <family val="2"/>
      </rPr>
      <t xml:space="preserve">
Имеет вытянутый и приплюснутый шрифт, цвет черный, содержит ссылку на главную страницу Яндекс.Самоката</t>
    </r>
  </si>
  <si>
    <r>
      <rPr>
        <b/>
        <sz val="11"/>
        <color theme="1"/>
        <rFont val="Arial"/>
        <family val="2"/>
      </rPr>
      <t>Описание логотипа - "УЧЕБНЫЙ ТРЕНАЖЕР"</t>
    </r>
    <r>
      <rPr>
        <sz val="11"/>
        <color theme="1"/>
        <rFont val="Arial"/>
        <family val="2"/>
      </rPr>
      <t xml:space="preserve">
Цвет серый, верхний регистр, маленький размер шрифта</t>
    </r>
  </si>
  <si>
    <r>
      <rPr>
        <b/>
        <sz val="11"/>
        <color theme="1"/>
        <rFont val="Arial"/>
        <family val="2"/>
      </rPr>
      <t xml:space="preserve">Кнопка "Заказать"
Внешний вид
</t>
    </r>
    <r>
      <rPr>
        <sz val="11"/>
        <color theme="1"/>
        <rFont val="Arial"/>
        <family val="2"/>
      </rPr>
      <t xml:space="preserve">Кнопка имеет прямоугольную форму с закругленными краями, черного цвета, расположен правее кнопки "Статус заказа"
</t>
    </r>
    <r>
      <rPr>
        <b/>
        <sz val="11"/>
        <color theme="1"/>
        <rFont val="Arial"/>
        <family val="2"/>
      </rPr>
      <t xml:space="preserve">Содержимое
</t>
    </r>
    <r>
      <rPr>
        <sz val="11"/>
        <color theme="1"/>
        <rFont val="Arial"/>
        <family val="2"/>
      </rPr>
      <t>Текст белого цвета, размер средний</t>
    </r>
  </si>
  <si>
    <t>При наведении курсора на кнопку "Заказать" фон кнопки меняется с черного на темно-серый, курсор превращается в указатель</t>
  </si>
  <si>
    <r>
      <rPr>
        <b/>
        <sz val="11"/>
        <color theme="1"/>
        <rFont val="Arial"/>
        <family val="2"/>
      </rPr>
      <t xml:space="preserve">Кнопка "Статус заказа"
</t>
    </r>
    <r>
      <rPr>
        <sz val="11"/>
        <color theme="1"/>
        <rFont val="Arial"/>
        <family val="2"/>
      </rPr>
      <t>Текст черного цвета, размер средний, контура нет, фон белый, расположена в правом верхнем углу</t>
    </r>
  </si>
  <si>
    <t>При наведении курсора на кнопку "Статус заказа" курсор превращается в указатель</t>
  </si>
  <si>
    <t>Если нажать на "Статус заказа" в шапке лендинга появляется поле ввода "Номер заказа"</t>
  </si>
  <si>
    <t>Failed</t>
  </si>
  <si>
    <t>ST1</t>
  </si>
  <si>
    <r>
      <rPr>
        <b/>
        <sz val="11"/>
        <color theme="1"/>
        <rFont val="Arial"/>
        <family val="2"/>
      </rPr>
      <t xml:space="preserve">Поле "Номер заказа"
</t>
    </r>
    <r>
      <rPr>
        <sz val="11"/>
        <color theme="1"/>
        <rFont val="Arial"/>
        <family val="2"/>
      </rPr>
      <t>При открытии поля исчезают кнопки "Заказать" и "Статус заказа"</t>
    </r>
    <r>
      <rPr>
        <b/>
        <sz val="11"/>
        <color theme="1"/>
        <rFont val="Arial"/>
        <family val="2"/>
      </rPr>
      <t xml:space="preserve">
Внешний вид
</t>
    </r>
    <r>
      <rPr>
        <sz val="11"/>
        <color theme="1"/>
        <rFont val="Arial"/>
        <family val="2"/>
      </rPr>
      <t xml:space="preserve">Поле имеет прямоугольную форму с закругленными краями, толщина линии тонкая, цвет линии серый, расположена в правом верхнем углу
</t>
    </r>
    <r>
      <rPr>
        <b/>
        <sz val="11"/>
        <color theme="1"/>
        <rFont val="Arial"/>
        <family val="2"/>
      </rPr>
      <t xml:space="preserve">Содержимое
</t>
    </r>
    <r>
      <rPr>
        <sz val="11"/>
        <color theme="1"/>
        <rFont val="Arial"/>
        <family val="2"/>
      </rPr>
      <t>Форма для прав имеет плейсхолдер "Номер заказа" слева, цвет текста серый</t>
    </r>
  </si>
  <si>
    <t>ST2</t>
  </si>
  <si>
    <t>Если в поле "Номер заказа" ввести существующий заказ и нажать клавишу Enter, то происходит переходит на экран "Статус заказа"</t>
  </si>
  <si>
    <t>ST12</t>
  </si>
  <si>
    <t xml:space="preserve">Если поле пустое и нажать Enter - отображается окно с ошибкой </t>
  </si>
  <si>
    <t>ST3</t>
  </si>
  <si>
    <t>При вводе пробелов и нажатии Enter также отображается окно с ошибкой</t>
  </si>
  <si>
    <t>ST4</t>
  </si>
  <si>
    <t>Поле "Номер заказа" и кнопка "Посмотреть"</t>
  </si>
  <si>
    <r>
      <rPr>
        <b/>
        <sz val="11"/>
        <color theme="1"/>
        <rFont val="Arial"/>
        <family val="2"/>
      </rPr>
      <t>Поле "Номер заказа"
Внешний вид</t>
    </r>
    <r>
      <rPr>
        <sz val="11"/>
        <color theme="1"/>
        <rFont val="Arial"/>
        <family val="2"/>
      </rPr>
      <t xml:space="preserve">
Поле имеет прямоугольную форму с закругленными краями, толщина линии тонкая, цвет линии серый, расположена под шапкой страницы</t>
    </r>
  </si>
  <si>
    <t>В поле "Номер заказа" можно ввести номер другого заказа и посмотреть его статус. Данные обновятся</t>
  </si>
  <si>
    <t>Если пользователь вводит несуществующий в базе данных номер, отображается окно с ошибкой</t>
  </si>
  <si>
    <t>Сообщение об ошибке исчезает после повторного ввода корректного номера и успешного поиска</t>
  </si>
  <si>
    <t>Если в поле "Номер заказа" ввести существующий заказ и нажать клавишу Enter, то выводятся данные заказа и статус доставки</t>
  </si>
  <si>
    <t>ST13</t>
  </si>
  <si>
    <t>ST14</t>
  </si>
  <si>
    <t>ST15</t>
  </si>
  <si>
    <r>
      <rPr>
        <b/>
        <sz val="11"/>
        <color theme="1"/>
        <rFont val="Arial"/>
        <family val="2"/>
      </rPr>
      <t xml:space="preserve">Кнопка "Посмотреть"
Внешний вид
</t>
    </r>
    <r>
      <rPr>
        <sz val="11"/>
        <color theme="1"/>
        <rFont val="Arial"/>
        <family val="2"/>
      </rPr>
      <t xml:space="preserve">Кнопка имеет прямоугольную форму с закругленными краями, черного цвета, расположен правее поля "Номер заказа"
</t>
    </r>
    <r>
      <rPr>
        <b/>
        <sz val="11"/>
        <color theme="1"/>
        <rFont val="Arial"/>
        <family val="2"/>
      </rPr>
      <t xml:space="preserve">Содержимое
</t>
    </r>
    <r>
      <rPr>
        <sz val="11"/>
        <color theme="1"/>
        <rFont val="Arial"/>
        <family val="2"/>
      </rPr>
      <t xml:space="preserve">Текст белого цвета </t>
    </r>
  </si>
  <si>
    <t>При наведении курсора на кнопку "Посмотреть" фон кнопки меняется с черного на темно-серый, курсор превращается в указатель</t>
  </si>
  <si>
    <t>Несуществующий заказ</t>
  </si>
  <si>
    <r>
      <rPr>
        <b/>
        <sz val="11"/>
        <color theme="1"/>
        <rFont val="Arial"/>
        <family val="2"/>
      </rPr>
      <t xml:space="preserve">Окно с ошибкой
</t>
    </r>
    <r>
      <rPr>
        <sz val="11"/>
        <color theme="1"/>
        <rFont val="Arial"/>
        <family val="2"/>
      </rPr>
      <t xml:space="preserve">При вводе несуществующего номера заказа под полем Номер заказа и кнопкой Посмотреть выходит окно с ошибкой, содержащее заголовок, подзаголовок и картинку
</t>
    </r>
    <r>
      <rPr>
        <b/>
        <sz val="11"/>
        <color theme="1"/>
        <rFont val="Arial"/>
        <family val="2"/>
      </rPr>
      <t xml:space="preserve">Заголовок "Такого заказа нет"
</t>
    </r>
    <r>
      <rPr>
        <sz val="11"/>
        <color theme="1"/>
        <rFont val="Arial"/>
        <family val="2"/>
      </rPr>
      <t xml:space="preserve">Размер текста большой, полужирный, расположен поверх изображения, выравнивание по горизонтали по центру, выравнивание по вертикали - ближе к верху
</t>
    </r>
    <r>
      <rPr>
        <b/>
        <sz val="11"/>
        <color theme="1"/>
        <rFont val="Arial"/>
        <family val="2"/>
      </rPr>
      <t xml:space="preserve">
Подзаголовок "Точно верный номер?"
</t>
    </r>
    <r>
      <rPr>
        <sz val="11"/>
        <color theme="1"/>
        <rFont val="Arial"/>
        <family val="2"/>
      </rPr>
      <t xml:space="preserve">Размер текста средний, полужирный, расположен под заголовком, выравнивание по горизонтали по центу
</t>
    </r>
    <r>
      <rPr>
        <b/>
        <sz val="11"/>
        <color theme="1"/>
        <rFont val="Arial"/>
        <family val="2"/>
      </rPr>
      <t xml:space="preserve">
Изображение
</t>
    </r>
    <r>
      <rPr>
        <sz val="11"/>
        <color theme="1"/>
        <rFont val="Arial"/>
        <family val="2"/>
      </rPr>
      <t>Черно-белое изображение дороги со сломанным самокатом, у которого отлетело 2 колеса</t>
    </r>
    <r>
      <rPr>
        <b/>
        <sz val="11"/>
        <color theme="1"/>
        <rFont val="Arial"/>
        <family val="2"/>
      </rPr>
      <t xml:space="preserve">
</t>
    </r>
  </si>
  <si>
    <t>ST5</t>
  </si>
  <si>
    <t>Данные заказа пользователя</t>
  </si>
  <si>
    <r>
      <rPr>
        <b/>
        <sz val="11"/>
        <color theme="1"/>
        <rFont val="Arial"/>
        <family val="2"/>
      </rPr>
      <t xml:space="preserve">Данные заказа пользователя (ключ: значение)
Расположение
</t>
    </r>
    <r>
      <rPr>
        <sz val="11"/>
        <color theme="1"/>
        <rFont val="Arial"/>
        <family val="2"/>
      </rPr>
      <t xml:space="preserve">Слева под полем "Номер заказа". 
</t>
    </r>
    <r>
      <rPr>
        <b/>
        <sz val="11"/>
        <color theme="1"/>
        <rFont val="Arial"/>
        <family val="2"/>
      </rPr>
      <t>Ключи</t>
    </r>
    <r>
      <rPr>
        <sz val="11"/>
        <color theme="1"/>
        <rFont val="Arial"/>
        <family val="2"/>
      </rPr>
      <t xml:space="preserve">
Состоит из строк со следующими ключами:
Имя, фамилия, адрес, станция метро, телефон, дата доставки, срок аренды, цвет самоката, комментарий. 
Цвет букв серый, размер шрифта средний, выравнивание по левому краю.
</t>
    </r>
    <r>
      <rPr>
        <b/>
        <sz val="11"/>
        <color theme="1"/>
        <rFont val="Arial"/>
        <family val="2"/>
      </rPr>
      <t xml:space="preserve">Значения
</t>
    </r>
    <r>
      <rPr>
        <sz val="11"/>
        <color theme="1"/>
        <rFont val="Arial"/>
        <family val="2"/>
      </rPr>
      <t>Содержат данные пользователя.
Цвет букв черный, размер шрифта средний, выравнивание по правому краю.</t>
    </r>
  </si>
  <si>
    <r>
      <rPr>
        <b/>
        <sz val="11"/>
        <color theme="1"/>
        <rFont val="Arial"/>
        <family val="2"/>
      </rPr>
      <t xml:space="preserve">Разделительная линия
</t>
    </r>
    <r>
      <rPr>
        <sz val="11"/>
        <color theme="1"/>
        <rFont val="Arial"/>
        <family val="2"/>
      </rPr>
      <t>Сплошная, тонкая, серая линия, длинной во всю строку.
Разделяет строки: телефон и датой доставки / срок аренды и цвет.</t>
    </r>
  </si>
  <si>
    <t>Для всех полей данных заказа пользователя действует правило: если текст не умещается в одной строке, он переносится на вторую</t>
  </si>
  <si>
    <t>ST6</t>
  </si>
  <si>
    <t>Данные заказа пользователя должны совпадать с данными при оформлении заказа</t>
  </si>
  <si>
    <t>ST7, ST19</t>
  </si>
  <si>
    <t>Если поле "комментарий" не заполнено при оформлении, оно не отображается в данных заказа пользователя</t>
  </si>
  <si>
    <t>Если не выбран цвет на экране "Сделать заказ", то в строке Цвет данных заказа пользователя стоит значение "любой"</t>
  </si>
  <si>
    <t>Цепочка статусов заказа</t>
  </si>
  <si>
    <t>Цепочка статусов заказа расположена справа от данных заказа пользователя на одном с ними уровне</t>
  </si>
  <si>
    <t>ST16</t>
  </si>
  <si>
    <r>
      <rPr>
        <b/>
        <sz val="11"/>
        <color theme="1"/>
        <rFont val="Arial"/>
        <family val="2"/>
      </rPr>
      <t xml:space="preserve">Статус заказа - №1
Заголовок "Самокат на складе"
</t>
    </r>
    <r>
      <rPr>
        <sz val="11"/>
        <color theme="1"/>
        <rFont val="Arial"/>
        <family val="2"/>
      </rPr>
      <t xml:space="preserve">Размер текста большой, полужирный, расположено сверху, центрирование по левому краю.
</t>
    </r>
    <r>
      <rPr>
        <b/>
        <sz val="11"/>
        <color theme="1"/>
        <rFont val="Arial"/>
        <family val="2"/>
      </rPr>
      <t xml:space="preserve">Подзаголовок "Скоро курьер заберет его"
</t>
    </r>
    <r>
      <rPr>
        <sz val="11"/>
        <color theme="1"/>
        <rFont val="Arial"/>
        <family val="2"/>
      </rPr>
      <t xml:space="preserve">Размер текста средний, расположено под заголовком, центрирование по левому краю.
</t>
    </r>
    <r>
      <rPr>
        <b/>
        <sz val="11"/>
        <color theme="1"/>
        <rFont val="Arial"/>
        <family val="2"/>
      </rPr>
      <t xml:space="preserve">Нумерация
</t>
    </r>
    <r>
      <rPr>
        <sz val="11"/>
        <color theme="1"/>
        <rFont val="Arial"/>
        <family val="2"/>
      </rPr>
      <t>Слева от заголовка и подзаголовка расположена цифра 1 в круглой  рамке, соединенной со следующей круглой рамкой тонкой линией.
Размер цифры средний, расположен в центре рамки.
Рамка имеет тонкий контур и белый фон.</t>
    </r>
  </si>
  <si>
    <t>Статус №1 становится активным, когда пользователь сделал заказ</t>
  </si>
  <si>
    <t>Если статус №1 пройден, цифра перед ним сменяется на галочку</t>
  </si>
  <si>
    <r>
      <rPr>
        <b/>
        <sz val="11"/>
        <color theme="1"/>
        <rFont val="Arial"/>
        <family val="2"/>
      </rPr>
      <t>Статус заказа №2 — Заголовок "Курьер едет к вам"</t>
    </r>
    <r>
      <rPr>
        <sz val="11"/>
        <color theme="1"/>
        <rFont val="Arial"/>
        <family val="2"/>
      </rPr>
      <t xml:space="preserve">
Размер текста большой, полужирный, расположено сверху, центрирование по левому краю</t>
    </r>
  </si>
  <si>
    <r>
      <rPr>
        <b/>
        <sz val="11"/>
        <color theme="1"/>
        <rFont val="Arial"/>
        <family val="2"/>
      </rPr>
      <t>Статус заказа №2 — Подзаголовок "Номер для связи: 0101"</t>
    </r>
    <r>
      <rPr>
        <sz val="11"/>
        <color theme="1"/>
        <rFont val="Arial"/>
        <family val="2"/>
      </rPr>
      <t xml:space="preserve">
Размер текста средний, расположено под заголовком, центрирование по левому краю</t>
    </r>
  </si>
  <si>
    <r>
      <rPr>
        <b/>
        <sz val="11"/>
        <color theme="1"/>
        <rFont val="Arial"/>
        <family val="2"/>
      </rPr>
      <t>Статус заказа №2 — Нумерация</t>
    </r>
    <r>
      <rPr>
        <sz val="11"/>
        <color theme="1"/>
        <rFont val="Arial"/>
        <family val="2"/>
      </rPr>
      <t xml:space="preserve">
Слева от заголовка и подзаголовка расположена цифра 2 в круглой  рамке, соединенной со следующей круглой рамкой тонкой линией.
Размер цифры средний, расположен в центре рамки.
Рамка имеет тонкий контур и белый фон</t>
    </r>
  </si>
  <si>
    <t>Статус №2 становится активным, когда курьер подтвердил у себя в приложении, что принял заказ</t>
  </si>
  <si>
    <t>Когда статус №2 активен, в подписи появляется имя курьера. Например, "Курьер [имя] едет к вам"</t>
  </si>
  <si>
    <t>Если имя курьера слишком длинное и подпись не умещается в одну строчку, текст переносится на вторую строчку</t>
  </si>
  <si>
    <t>ST8</t>
  </si>
  <si>
    <t>Если статус №2 пройден, цифра перед ним сменяется на галочку</t>
  </si>
  <si>
    <r>
      <rPr>
        <b/>
        <sz val="11"/>
        <color theme="1"/>
        <rFont val="Arial"/>
        <family val="2"/>
      </rPr>
      <t>Просроченный заказ – Заголовок "Курьер задерживается"</t>
    </r>
    <r>
      <rPr>
        <sz val="11"/>
        <color theme="1"/>
        <rFont val="Arial"/>
        <family val="2"/>
      </rPr>
      <t xml:space="preserve">
Размер текста большой, полужирный, цвет красный, расположено сверху, центрирование по левому краю</t>
    </r>
  </si>
  <si>
    <r>
      <rPr>
        <b/>
        <sz val="11"/>
        <color theme="1"/>
        <rFont val="Arial"/>
        <family val="2"/>
      </rPr>
      <t>Просроченный заказ – Подзаголовок "Не успеем привезти самокат вовремя. Чтобы уточнить статус заказа, позвоните в поддержку: 0101"</t>
    </r>
    <r>
      <rPr>
        <sz val="11"/>
        <color theme="1"/>
        <rFont val="Arial"/>
        <family val="2"/>
      </rPr>
      <t xml:space="preserve">
Размер текста средний, цвет красный, расположено под заголовком, центрирование по левому краю</t>
    </r>
  </si>
  <si>
    <r>
      <rPr>
        <b/>
        <sz val="11"/>
        <color theme="1"/>
        <rFont val="Arial"/>
        <family val="2"/>
      </rPr>
      <t>Просроченный заказ – Нумерация</t>
    </r>
    <r>
      <rPr>
        <sz val="11"/>
        <color theme="1"/>
        <rFont val="Arial"/>
        <family val="2"/>
      </rPr>
      <t xml:space="preserve">
Слева от заголовка и подзаголовка расположена цифра 2 в круглой  рамке, соединенной со следующей круглой рамкой тонкой линией.
Размер цифры средний, расположен в центре рамки.
Рамка имеет тонкий контур, красный цвет и белый фон</t>
    </r>
  </si>
  <si>
    <t>Если пользователю доставили просроченный заказ, отсчёт времени до конца
аренды начинается с момента получения заказа</t>
  </si>
  <si>
    <r>
      <rPr>
        <b/>
        <sz val="11"/>
        <color theme="1"/>
        <rFont val="Arial"/>
        <family val="2"/>
      </rPr>
      <t>Статус заказа №3 – Заголовок "Курьер на месте"</t>
    </r>
    <r>
      <rPr>
        <sz val="11"/>
        <color theme="1"/>
        <rFont val="Arial"/>
        <family val="2"/>
      </rPr>
      <t xml:space="preserve">
Размер текста большой, полужирный, расположено сверху, центрирование по левому краю</t>
    </r>
  </si>
  <si>
    <r>
      <rPr>
        <b/>
        <sz val="11"/>
        <color theme="1"/>
        <rFont val="Arial"/>
        <family val="2"/>
      </rPr>
      <t>Статус заказа №3 – Подзаголовок "Заберите самокат и оплатите аренду"</t>
    </r>
    <r>
      <rPr>
        <sz val="11"/>
        <color theme="1"/>
        <rFont val="Arial"/>
        <family val="2"/>
      </rPr>
      <t xml:space="preserve">
Размер текста средний, расположено под заголовком, центрирование по левому краю</t>
    </r>
  </si>
  <si>
    <r>
      <rPr>
        <b/>
        <sz val="11"/>
        <color theme="1"/>
        <rFont val="Arial"/>
        <family val="2"/>
      </rPr>
      <t>Статус заказа №3 – Нумерация</t>
    </r>
    <r>
      <rPr>
        <sz val="11"/>
        <color theme="1"/>
        <rFont val="Arial"/>
        <family val="2"/>
      </rPr>
      <t xml:space="preserve">
Слева от заголовка и подзаголовка расположена цифра 3 в круглой  рамке, соединенной со следующей круглой рамкой тонкой линией.
Размер цифры средний, расположен в центре рамки.
Рамка имеет тонкий контур и белый фон</t>
    </r>
  </si>
  <si>
    <t>Статус №3 становится активным, когда курьер нажал кнопку "Завершить" у себя в приложении</t>
  </si>
  <si>
    <t>ST9</t>
  </si>
  <si>
    <t>Если статус №3 пройден, цифра перед ним сменяется на галочку</t>
  </si>
  <si>
    <r>
      <rPr>
        <b/>
        <sz val="11"/>
        <color theme="1"/>
        <rFont val="Arial"/>
        <family val="2"/>
      </rPr>
      <t>Статус заказа №4 – Заголовок "Ну всё, теперь кататься"</t>
    </r>
    <r>
      <rPr>
        <sz val="11"/>
        <color theme="1"/>
        <rFont val="Arial"/>
        <family val="2"/>
      </rPr>
      <t xml:space="preserve">
Размер текста большой, полужирный, расположено сверху, центрирование по левому краю</t>
    </r>
  </si>
  <si>
    <r>
      <rPr>
        <b/>
        <sz val="11"/>
        <color theme="1"/>
        <rFont val="Arial"/>
        <family val="2"/>
      </rPr>
      <t>Статус заказа №4 – Подзаголовок "Пока не закончится аренда"</t>
    </r>
    <r>
      <rPr>
        <sz val="11"/>
        <color theme="1"/>
        <rFont val="Arial"/>
        <family val="2"/>
      </rPr>
      <t xml:space="preserve">
Размер текста средний, расположено под заголовком, центрирование по левому краю</t>
    </r>
  </si>
  <si>
    <r>
      <rPr>
        <b/>
        <sz val="11"/>
        <color theme="1"/>
        <rFont val="Arial"/>
        <family val="2"/>
      </rPr>
      <t>Статус заказа №4 – Нумерация</t>
    </r>
    <r>
      <rPr>
        <sz val="11"/>
        <color theme="1"/>
        <rFont val="Arial"/>
        <family val="2"/>
      </rPr>
      <t xml:space="preserve">
Слева от заголовка и подзаголовка расположена цифра 4 в круглой  рамке.
Рамка имеет тонкий контур и белый фон</t>
    </r>
  </si>
  <si>
    <t>Статус №4 становится активным, когда курьер подтвердил завершение заказа</t>
  </si>
  <si>
    <t>Когда статус №4 активен, под заголовком статуса подпись "Аренда закончится..."</t>
  </si>
  <si>
    <t>При активном статусе №4 показываемое время рассчитывается от момента, когда самокат передали пользователю с учетом количества дней</t>
  </si>
  <si>
    <r>
      <rPr>
        <sz val="11"/>
        <color theme="1"/>
        <rFont val="Arial"/>
        <family val="2"/>
      </rPr>
      <t xml:space="preserve">Когда время аренды заканчивается, статус меняется на </t>
    </r>
    <r>
      <rPr>
        <b/>
        <sz val="11"/>
        <color theme="1"/>
        <rFont val="Arial"/>
        <family val="2"/>
      </rPr>
      <t>"Время аренды кончилось"</t>
    </r>
    <r>
      <rPr>
        <sz val="11"/>
        <color theme="1"/>
        <rFont val="Arial"/>
        <family val="2"/>
      </rPr>
      <t xml:space="preserve"> с подписью </t>
    </r>
    <r>
      <rPr>
        <b/>
        <sz val="11"/>
        <color theme="1"/>
        <rFont val="Arial"/>
        <family val="2"/>
      </rPr>
      <t>"Скоро курьер заберет самокат"</t>
    </r>
  </si>
  <si>
    <t>Когда время аредны закончилось, текст в статусе заказа №4 становится серым</t>
  </si>
  <si>
    <t>ST20</t>
  </si>
  <si>
    <t>Активным может быть только один статус</t>
  </si>
  <si>
    <t>Текущий статус, если он не просрочен, выделен черным цветом, а остальные - серым</t>
  </si>
  <si>
    <t>Если статус №4 пройден, цифра перед ним сменяется на галочку</t>
  </si>
  <si>
    <t>ST21</t>
  </si>
  <si>
    <t>Нумерация статусов идет по порядку сверху-вниз</t>
  </si>
  <si>
    <t>Кнопка "Отменить заказ"</t>
  </si>
  <si>
    <r>
      <rPr>
        <b/>
        <sz val="11"/>
        <color theme="1"/>
        <rFont val="Arial"/>
        <family val="2"/>
      </rPr>
      <t xml:space="preserve">Кнопка "Отменить заказ"
Внешний вид
</t>
    </r>
    <r>
      <rPr>
        <sz val="11"/>
        <color theme="1"/>
        <rFont val="Arial"/>
        <family val="2"/>
      </rPr>
      <t xml:space="preserve">Кнопка имеет прямоугольную форму с закругленными краями, фон белого цвета, контур черный, расположен под комментарием пользователя
</t>
    </r>
    <r>
      <rPr>
        <b/>
        <sz val="11"/>
        <color theme="1"/>
        <rFont val="Arial"/>
        <family val="2"/>
      </rPr>
      <t xml:space="preserve">Содержимое
</t>
    </r>
    <r>
      <rPr>
        <sz val="11"/>
        <color theme="1"/>
        <rFont val="Arial"/>
        <family val="2"/>
      </rPr>
      <t>Текст черного цвета, размер средний, расположен по центру</t>
    </r>
  </si>
  <si>
    <t>При наведении курсора на кнопку "Отменить заказ" курсор превращается в указатель</t>
  </si>
  <si>
    <t>Когда заказ уже у курьера, кнопка «Отменить заказ» будет некликабельной</t>
  </si>
  <si>
    <t>ST10</t>
  </si>
  <si>
    <t>Если кликнуть по кнопке "Отменить заказ", появится всплывающее окно с текстом "Хотите отменить заказ?"</t>
  </si>
  <si>
    <t>Всплывающее окно "Хотите отменить заказ?"</t>
  </si>
  <si>
    <r>
      <rPr>
        <b/>
        <sz val="11"/>
        <color theme="1"/>
        <rFont val="Arial"/>
        <family val="2"/>
      </rPr>
      <t xml:space="preserve">Окно для подтверждения отмены
Внешний вид 
</t>
    </r>
    <r>
      <rPr>
        <sz val="11"/>
        <color theme="1"/>
        <rFont val="Arial"/>
        <family val="2"/>
      </rPr>
      <t xml:space="preserve">Форма прямоугольная, контур тонкий черный, края закруглены, фон белый.
</t>
    </r>
    <r>
      <rPr>
        <b/>
        <sz val="11"/>
        <color theme="1"/>
        <rFont val="Arial"/>
        <family val="2"/>
      </rPr>
      <t>Содержимое</t>
    </r>
    <r>
      <rPr>
        <sz val="11"/>
        <color theme="1"/>
        <rFont val="Arial"/>
        <family val="2"/>
      </rPr>
      <t xml:space="preserve">
Заголовок, 2 кнопки</t>
    </r>
  </si>
  <si>
    <t>Окно для подтверждения отмены всплывает поверх приложения</t>
  </si>
  <si>
    <r>
      <rPr>
        <b/>
        <sz val="11"/>
        <color theme="1"/>
        <rFont val="Arial"/>
        <family val="2"/>
      </rPr>
      <t>Окно для подтверждения отмены – Заголовок "Хотите отменить заказ?"</t>
    </r>
    <r>
      <rPr>
        <sz val="11"/>
        <color theme="1"/>
        <rFont val="Arial"/>
        <family val="2"/>
      </rPr>
      <t xml:space="preserve">
Размер текста большой, полужирный, расположено сверху, центрирование по центру.</t>
    </r>
  </si>
  <si>
    <r>
      <rPr>
        <b/>
        <sz val="11"/>
        <color theme="1"/>
        <rFont val="Arial"/>
        <family val="2"/>
      </rPr>
      <t>Окно для подтверждения отмены – Кнопка "Назад"
Внешний вид</t>
    </r>
    <r>
      <rPr>
        <sz val="11"/>
        <color theme="1"/>
        <rFont val="Arial"/>
        <family val="2"/>
      </rPr>
      <t xml:space="preserve">
Кнопка имеет прямоугольную форму с закругленными краями, фон черного цвета, контур черный, расположен под заголовком "Хотите отменить заказ?", Левее кнопки "Отменить"
</t>
    </r>
    <r>
      <rPr>
        <b/>
        <sz val="11"/>
        <color theme="1"/>
        <rFont val="Arial"/>
        <family val="2"/>
      </rPr>
      <t>Содержимое</t>
    </r>
    <r>
      <rPr>
        <sz val="11"/>
        <color theme="1"/>
        <rFont val="Arial"/>
        <family val="2"/>
      </rPr>
      <t xml:space="preserve">
Текст белого цвета, размер средний, расположен по центру.</t>
    </r>
  </si>
  <si>
    <t>При наведении курсора на кнопку "Назад" фон кнопки меняется с черного на темно-серый, курсор превращается в указатель</t>
  </si>
  <si>
    <t>Если кликнуть по «Назад», пользователь вернётся на страницу статуса
заказа</t>
  </si>
  <si>
    <r>
      <rPr>
        <b/>
        <sz val="11"/>
        <color theme="1"/>
        <rFont val="Arial"/>
        <family val="2"/>
      </rPr>
      <t>Окно для подтверждения отмены – Кнопка "Отменить"
Внешний вид</t>
    </r>
    <r>
      <rPr>
        <sz val="11"/>
        <color theme="1"/>
        <rFont val="Arial"/>
        <family val="2"/>
      </rPr>
      <t xml:space="preserve">
Кнопка имеет прямоугольную форму с закругленными краями, фон белого цвета, контур черный, расположен под заголовком "Хотите отменить заказ?", правее кнопки "Назад"
</t>
    </r>
    <r>
      <rPr>
        <b/>
        <sz val="11"/>
        <color theme="1"/>
        <rFont val="Arial"/>
        <family val="2"/>
      </rPr>
      <t>Содержимое</t>
    </r>
    <r>
      <rPr>
        <sz val="11"/>
        <color theme="1"/>
        <rFont val="Arial"/>
        <family val="2"/>
      </rPr>
      <t xml:space="preserve">
Текст черного цвета, размер средний, расположен по центру</t>
    </r>
  </si>
  <si>
    <t>При наведении курсора на кнопку "Отменить" курсор превращается в указатель</t>
  </si>
  <si>
    <t>Если кликнуть по «Отменить», появится всплывающее окно с текстом «Заказ
отменён. Возвращайтесь, мы всегда вас ждём :)» и кнопкой «Хорошо»</t>
  </si>
  <si>
    <t>Пользователь может отменить заказ, пока курьер не взял его в работу</t>
  </si>
  <si>
    <t>При нажатии на кнопку "Отменить" заказ удаляется из системы. Пользователь не может его посмотреть</t>
  </si>
  <si>
    <t>ST17</t>
  </si>
  <si>
    <t>Всплывающее окно "Заказ отменен"</t>
  </si>
  <si>
    <r>
      <rPr>
        <b/>
        <sz val="11"/>
        <color theme="1"/>
        <rFont val="Arial"/>
        <family val="2"/>
      </rPr>
      <t xml:space="preserve">Окно, подверждающее отмену
Внешний вид 
</t>
    </r>
    <r>
      <rPr>
        <sz val="11"/>
        <color theme="1"/>
        <rFont val="Arial"/>
        <family val="2"/>
      </rPr>
      <t xml:space="preserve">Форма прямоугольная, контур тонкий черный, края закруглены, фон белый.
</t>
    </r>
    <r>
      <rPr>
        <b/>
        <sz val="11"/>
        <color theme="1"/>
        <rFont val="Arial"/>
        <family val="2"/>
      </rPr>
      <t>Содержимое</t>
    </r>
    <r>
      <rPr>
        <sz val="11"/>
        <color theme="1"/>
        <rFont val="Arial"/>
        <family val="2"/>
      </rPr>
      <t xml:space="preserve">
Заголовок, 1 кнопка</t>
    </r>
  </si>
  <si>
    <t>ST18</t>
  </si>
  <si>
    <r>
      <rPr>
        <b/>
        <sz val="11"/>
        <color theme="1"/>
        <rFont val="Arial"/>
        <family val="2"/>
      </rPr>
      <t>Окно, подтверждающее отмену – Заголовок "Заказ отменен"</t>
    </r>
    <r>
      <rPr>
        <sz val="11"/>
        <color theme="1"/>
        <rFont val="Arial"/>
        <family val="2"/>
      </rPr>
      <t xml:space="preserve">
Размер текста большой, полужирный, расположено сверху, центрирование по центру.</t>
    </r>
  </si>
  <si>
    <r>
      <rPr>
        <b/>
        <sz val="11"/>
        <color theme="1"/>
        <rFont val="Arial"/>
        <family val="2"/>
      </rPr>
      <t>Окно, подтверждающее отмену – Подзаголовок "Возвращайтесь, мы всегда вас ждем :)"</t>
    </r>
    <r>
      <rPr>
        <sz val="11"/>
        <color theme="1"/>
        <rFont val="Arial"/>
        <family val="2"/>
      </rPr>
      <t xml:space="preserve">
Размер текста средний, полужирный, расположено под заголовком "Заказ отменен", центрирование по центру.</t>
    </r>
  </si>
  <si>
    <r>
      <rPr>
        <b/>
        <sz val="11"/>
        <color theme="1"/>
        <rFont val="Arial"/>
        <family val="2"/>
      </rPr>
      <t>Окно, подтверждающее отмену – Кнопка "Хорошо"
Внешний вид</t>
    </r>
    <r>
      <rPr>
        <sz val="11"/>
        <color theme="1"/>
        <rFont val="Arial"/>
        <family val="2"/>
      </rPr>
      <t xml:space="preserve">
Кнопка имеет прямоугольную форму с закругленными краями, фон черного цвета, контур черный, расположен под подзаголовком "Хотите отменить заказ?", Левее кнопки "Отменить"
</t>
    </r>
    <r>
      <rPr>
        <b/>
        <sz val="11"/>
        <color theme="1"/>
        <rFont val="Arial"/>
        <family val="2"/>
      </rPr>
      <t>Содержимое</t>
    </r>
    <r>
      <rPr>
        <sz val="11"/>
        <color theme="1"/>
        <rFont val="Arial"/>
        <family val="2"/>
      </rPr>
      <t xml:space="preserve">
Текст белого цвета, размер средний, расположен по центру.</t>
    </r>
  </si>
  <si>
    <t>ST11</t>
  </si>
  <si>
    <t>При наведении курсора на кнопку "Хорошо" фон кнопки меняется с черного на темно-серый, курсор превращается в указатель</t>
  </si>
  <si>
    <t>Кнопка "Хорошо" ведет на главную страницу лендинга</t>
  </si>
  <si>
    <t>При отмене заказа через API отменённый заказ удаляется из системы. Пользователь не может его посмотреть</t>
  </si>
  <si>
    <r>
      <rPr>
        <b/>
        <sz val="11"/>
        <color theme="1"/>
        <rFont val="Arial"/>
        <family val="2"/>
      </rPr>
      <t xml:space="preserve">Проверки на валидацию полей экрана "Сделать заказ"
</t>
    </r>
    <r>
      <rPr>
        <sz val="11"/>
        <color theme="1"/>
        <rFont val="Arial"/>
        <family val="2"/>
      </rPr>
      <t xml:space="preserve">Окружение: </t>
    </r>
    <r>
      <rPr>
        <b/>
        <sz val="11"/>
        <color theme="1"/>
        <rFont val="Arial"/>
        <family val="2"/>
      </rPr>
      <t xml:space="preserve">Chrome
</t>
    </r>
    <r>
      <rPr>
        <sz val="11"/>
        <color theme="1"/>
        <rFont val="Arial"/>
        <family val="2"/>
      </rPr>
      <t>Версия:</t>
    </r>
    <r>
      <rPr>
        <b/>
        <sz val="11"/>
        <color theme="1"/>
        <rFont val="Arial"/>
        <family val="2"/>
      </rPr>
      <t xml:space="preserve"> 141.0.7390.123(arm64)</t>
    </r>
  </si>
  <si>
    <t>Таблица КЭ и ГЗ для поля Имя</t>
  </si>
  <si>
    <r>
      <rPr>
        <sz val="11"/>
        <color theme="1"/>
        <rFont val="Arial"/>
        <family val="2"/>
      </rPr>
      <t>Требования</t>
    </r>
    <r>
      <rPr>
        <sz val="11"/>
        <color theme="1"/>
        <rFont val="Arial"/>
        <family val="2"/>
      </rPr>
      <t>: Обязательное поле. Только русские буквы, пробел, тире. Длина не менее 2 и не более 15 символов. При некорректном вводе подсвечивается красным. Текст ошибки «Введите корректное имя».</t>
    </r>
  </si>
  <si>
    <t>Поле</t>
  </si>
  <si>
    <t>Название класса</t>
  </si>
  <si>
    <t>Границы</t>
  </si>
  <si>
    <t>Тестовые данные внутри класса (содержимое поля)</t>
  </si>
  <si>
    <t>Тестовые данные на границах (содержимое поля)</t>
  </si>
  <si>
    <t>Пояснение</t>
  </si>
  <si>
    <t>Статус</t>
  </si>
  <si>
    <t>Имя</t>
  </si>
  <si>
    <t>В поле есть данные (валидно)</t>
  </si>
  <si>
    <t>Виктория</t>
  </si>
  <si>
    <t>Поле пустое 
(невалидно)</t>
  </si>
  <si>
    <t>«» (0 символов)</t>
  </si>
  <si>
    <t>Оптимизируем, так как в следующем классе содержится проверка 0 символов</t>
  </si>
  <si>
    <t>Длина от 0 до 1 символа (невалидно)</t>
  </si>
  <si>
    <t>0; 1</t>
  </si>
  <si>
    <t>В (1 символ)</t>
  </si>
  <si>
    <r>
      <rPr>
        <sz val="11"/>
        <color theme="1"/>
        <rFont val="Arial"/>
        <family val="2"/>
      </rPr>
      <t xml:space="preserve">«» (0 символов)
В (1 символ)
</t>
    </r>
    <r>
      <rPr>
        <strike/>
        <sz val="11"/>
        <color theme="1"/>
        <rFont val="Arial"/>
        <family val="2"/>
      </rPr>
      <t>Ви (2 символа)</t>
    </r>
  </si>
  <si>
    <t>Оптимизируем, так как в следующем классе содержится проверка 2 символов и проверка 1 символа уже есть в тестовых данных на границах этого класса</t>
  </si>
  <si>
    <t>Длина от 2 до 15 символов (валидно)</t>
  </si>
  <si>
    <t>2; 15</t>
  </si>
  <si>
    <t>Виктория (8 символов)</t>
  </si>
  <si>
    <r>
      <rPr>
        <strike/>
        <sz val="11"/>
        <color theme="1"/>
        <rFont val="Arial"/>
        <family val="2"/>
      </rPr>
      <t>В (1 символ)</t>
    </r>
    <r>
      <rPr>
        <sz val="11"/>
        <color theme="1"/>
        <rFont val="Arial"/>
        <family val="2"/>
      </rPr>
      <t xml:space="preserve">
Ви (2 символа)
Вик (3 символа)
ВикторияВиктор (14 символов)
ВикторияВиктори (15 символов)
</t>
    </r>
    <r>
      <rPr>
        <strike/>
        <sz val="11"/>
        <color theme="1"/>
        <rFont val="Arial"/>
        <family val="2"/>
      </rPr>
      <t>ВикторияВиктория (16 символов)</t>
    </r>
  </si>
  <si>
    <t>Оптимизируем, так как в следующем классе содержится 16 символов  и 1 символ проверяется в предыдущем классе</t>
  </si>
  <si>
    <t>Длина более 15 символов (невалидно)</t>
  </si>
  <si>
    <t>16; +∞</t>
  </si>
  <si>
    <t>ВикторияВикторияВикторияВиктория (32 символа)</t>
  </si>
  <si>
    <r>
      <rPr>
        <strike/>
        <sz val="11"/>
        <color theme="1"/>
        <rFont val="Arial"/>
        <family val="2"/>
      </rPr>
      <t>ВикторияВиктори (15 символов)</t>
    </r>
    <r>
      <rPr>
        <sz val="11"/>
        <color theme="1"/>
        <rFont val="Arial"/>
        <family val="2"/>
      </rPr>
      <t xml:space="preserve">
ВикторияВиктория (16 символов)
ВикторияВикторияВ (17 символов)</t>
    </r>
  </si>
  <si>
    <t>Оптимизируем, так как в предыдущем классе содержится проверка 15 символов</t>
  </si>
  <si>
    <t>Русские буквы (валидно)</t>
  </si>
  <si>
    <t>Пробел перед текстом (валидно)</t>
  </si>
  <si>
    <t>" Виктория"</t>
  </si>
  <si>
    <t>Пробел после текста (валидно)</t>
  </si>
  <si>
    <t>"Виктория "</t>
  </si>
  <si>
    <t>Пробел внутри текста (валидно)</t>
  </si>
  <si>
    <t>Викт ория</t>
  </si>
  <si>
    <t>Заглавные буквы (валидно)</t>
  </si>
  <si>
    <t>ВИКТОРИЯ</t>
  </si>
  <si>
    <t>Строчные буквы (валидно)</t>
  </si>
  <si>
    <t>виктория</t>
  </si>
  <si>
    <t>Тире (невалидно)</t>
  </si>
  <si>
    <t>Викт—ория</t>
  </si>
  <si>
    <t>Согласно правилам русского языка составные имена пишутся через дефис</t>
  </si>
  <si>
    <t>Дефис (валидно)</t>
  </si>
  <si>
    <t>Анна-Мария</t>
  </si>
  <si>
    <t>DO17</t>
  </si>
  <si>
    <t>Английские буквы (невалидно)</t>
  </si>
  <si>
    <t>Victory</t>
  </si>
  <si>
    <t>Арабские буквы (невалидно)</t>
  </si>
  <si>
    <t>ب غوريون</t>
  </si>
  <si>
    <t>Цифры (невалидно)</t>
  </si>
  <si>
    <t>Виктория23</t>
  </si>
  <si>
    <t>Спецсимвол (невалидно)</t>
  </si>
  <si>
    <t>Виктор&amp;я</t>
  </si>
  <si>
    <t>Таблица КЭ и ГЗ для поля Фамилия</t>
  </si>
  <si>
    <t>Требования: Обязательное поле. Только русские буквы. Длина не менее 2 и не более 15 символов. При некорректном вводе подсвечивается красным, появляется текст ошибки. Текст ошибки «Введите корректную фамилию».</t>
  </si>
  <si>
    <t>Фамилия</t>
  </si>
  <si>
    <t>Вахштейн</t>
  </si>
  <si>
    <t>Оптимизируем, так как есть проверка русских букв</t>
  </si>
  <si>
    <t>Поле пустое  (невалидно)</t>
  </si>
  <si>
    <r>
      <rPr>
        <sz val="11"/>
        <color theme="1"/>
        <rFont val="Arial"/>
        <family val="2"/>
      </rPr>
      <t xml:space="preserve">«» (0 символов)
В (1 символ)
</t>
    </r>
    <r>
      <rPr>
        <strike/>
        <sz val="11"/>
        <color theme="1"/>
        <rFont val="Arial"/>
        <family val="2"/>
      </rPr>
      <t>Ва (2 символа)</t>
    </r>
  </si>
  <si>
    <t>Вахштейн (8 символов)</t>
  </si>
  <si>
    <r>
      <rPr>
        <strike/>
        <sz val="11"/>
        <color theme="1"/>
        <rFont val="Arial"/>
        <family val="2"/>
      </rPr>
      <t>В (1 символ)</t>
    </r>
    <r>
      <rPr>
        <sz val="11"/>
        <color theme="1"/>
        <rFont val="Arial"/>
        <family val="2"/>
      </rPr>
      <t xml:space="preserve">
Ва (2 символа)
Вах (3 символа)
ВахштейнВахште (14 символов)
ВахштейнВахштей (15 символов)
</t>
    </r>
    <r>
      <rPr>
        <strike/>
        <sz val="11"/>
        <color theme="1"/>
        <rFont val="Arial"/>
        <family val="2"/>
      </rPr>
      <t>ВахштейнВахштейн (16 символов)</t>
    </r>
  </si>
  <si>
    <t>DO2</t>
  </si>
  <si>
    <t>Пробел перед текстом (невалидно)</t>
  </si>
  <si>
    <t>" Вахштейн"</t>
  </si>
  <si>
    <t>Пробел после текста (невалидно)</t>
  </si>
  <si>
    <t>"Вахштейн "</t>
  </si>
  <si>
    <t>Пробел внутри текста (невалидно)</t>
  </si>
  <si>
    <t>Вахш тейн</t>
  </si>
  <si>
    <t>ВАХШТЕЙН</t>
  </si>
  <si>
    <t>вахштейн</t>
  </si>
  <si>
    <t>Петров—Васечкин</t>
  </si>
  <si>
    <t>Петров-Васечкин</t>
  </si>
  <si>
    <t>DO19</t>
  </si>
  <si>
    <t>Vahshtein</t>
  </si>
  <si>
    <t>Вахштейн24</t>
  </si>
  <si>
    <t>Вахште&amp;н</t>
  </si>
  <si>
    <t>Таблица КЭ и ГЗ для поля Адрес</t>
  </si>
  <si>
    <t>Требования: Обязательное поле. Только русские буквы, цифры, пробел, тире, точка, запятая. Длина не менее 5 и не более 50 символов. Пробелы до и после адреса удаляются при снятии фокуса. При некорректном вводе подсвечивается красным, появляется текст ошибки «Введите корректный адрес».</t>
  </si>
  <si>
    <t>Адрес</t>
  </si>
  <si>
    <t>Фотиевой</t>
  </si>
  <si>
    <t>Оптимизируем, так как есть проверка в длине от 0 до 4</t>
  </si>
  <si>
    <t>DO3</t>
  </si>
  <si>
    <t>Длина от 0 до 4 символа (невалидно)</t>
  </si>
  <si>
    <t>0; 4</t>
  </si>
  <si>
    <t>Фо (2 символ)</t>
  </si>
  <si>
    <t>Оптимизируем, так как есть проверка в длине от 5 до 50</t>
  </si>
  <si>
    <t>Длина от 5 до 50 символов (валидно)</t>
  </si>
  <si>
    <t>5; 50</t>
  </si>
  <si>
    <t>Университетская (15 символов)</t>
  </si>
  <si>
    <r>
      <rPr>
        <strike/>
        <sz val="11"/>
        <color theme="1"/>
        <rFont val="Arial"/>
        <family val="2"/>
      </rPr>
      <t>Фоти (4 символа)</t>
    </r>
    <r>
      <rPr>
        <sz val="11"/>
        <color theme="1"/>
        <rFont val="Arial"/>
        <family val="2"/>
      </rPr>
      <t xml:space="preserve">
Фотие (5 символов)
Фотиев (6 символов)
УниверситетскаяУниверситетскаяУниверситетскаяУнив
(49 символов)
УниверситетскаяУниверситетскаяУниверситетскаяУниве
(50 символов)
</t>
    </r>
    <r>
      <rPr>
        <strike/>
        <sz val="11"/>
        <color theme="1"/>
        <rFont val="Arial"/>
        <family val="2"/>
      </rPr>
      <t>УниверситетскаяУниверситетскаяУниверситетскаяУнивер
(51 символов)</t>
    </r>
  </si>
  <si>
    <t>Оптимизируем, так как есть проверка в длине от 0 до 4 и от 51 до + бесконечности</t>
  </si>
  <si>
    <t>Длина более 50 символов (невалидно)</t>
  </si>
  <si>
    <t>51; +∞</t>
  </si>
  <si>
    <t>УниверситетскаяУниверситетскаяУниверситетскаяУнивеУниверситетскаяУниверситетскаяУниверситетскаяУниве
(100 символов)</t>
  </si>
  <si>
    <r>
      <rPr>
        <strike/>
        <sz val="11"/>
        <color theme="1"/>
        <rFont val="Arial"/>
        <family val="2"/>
      </rPr>
      <t>УниверситетскаяУниверситетскаяУниверситетскаяУниве
(50 символов)</t>
    </r>
    <r>
      <rPr>
        <sz val="11"/>
        <color theme="1"/>
        <rFont val="Arial"/>
        <family val="2"/>
      </rPr>
      <t xml:space="preserve">
УниверситетскаяУниверситетскаяУниверситетскаяУнивер
(51 символов)
УниверситетскаяУниверситетскаяУниверситетскаяУниверс
(52 символов)</t>
    </r>
  </si>
  <si>
    <t>" Фотиевой"</t>
  </si>
  <si>
    <t>"Фотиевой "</t>
  </si>
  <si>
    <t>улица Фотиевой</t>
  </si>
  <si>
    <t>ФОТИЕВОЙ</t>
  </si>
  <si>
    <t>фотиевой</t>
  </si>
  <si>
    <t>Миклухо—Маклая</t>
  </si>
  <si>
    <t>В названиях улиц используется дефис</t>
  </si>
  <si>
    <t>Миклухо-Маклая</t>
  </si>
  <si>
    <t>Voronov</t>
  </si>
  <si>
    <t>Цифры (валидно)</t>
  </si>
  <si>
    <t>Фотиевой13</t>
  </si>
  <si>
    <t>Фотиев&amp;й</t>
  </si>
  <si>
    <t>Точка (валидно)</t>
  </si>
  <si>
    <t>ул.Фотиевой</t>
  </si>
  <si>
    <t>Запятая (валидно)</t>
  </si>
  <si>
    <t>Фотиевой,</t>
  </si>
  <si>
    <t>Дробь (валидно)</t>
  </si>
  <si>
    <t>Фотиевой/</t>
  </si>
  <si>
    <t>Должно проходить валидацию, так как дробь часто используется для нумерации домов. Например, ул. Фотиевой,13/4</t>
  </si>
  <si>
    <t>DO5</t>
  </si>
  <si>
    <t>Таблица КЭ и ГЗ для поля Станция метро</t>
  </si>
  <si>
    <t>Требования: Обязательное поле. Станции метро Москвы. Список метро зашит на стороне бэкенда (в API)</t>
  </si>
  <si>
    <t>Станция метро</t>
  </si>
  <si>
    <t>Станция метро из списка (валидно)</t>
  </si>
  <si>
    <t>Сокол</t>
  </si>
  <si>
    <t>Станция метро не из списка (невалидно)</t>
  </si>
  <si>
    <t>Любовь</t>
  </si>
  <si>
    <t>Оптимизируем, так как есть проверка по станции метро из списка</t>
  </si>
  <si>
    <t>Таблица КЭ и ГЗ для поля Телефон</t>
  </si>
  <si>
    <t>Требования: Обязательное поле. Только цифры и знак «+». 
Длина:
- 11 символов, если без знака «+».
- 12 символов, если со знаком «+».
При некорректном вводе подсвечивается красным. Текст ошибки «Введите корректный телефон».</t>
  </si>
  <si>
    <t>Телефон</t>
  </si>
  <si>
    <t>В поле есть данные 
(валидно)</t>
  </si>
  <si>
    <t>Оптимизируем, так как есть проверка 0 символов</t>
  </si>
  <si>
    <t>Менее 11 цифр 
(невалидно)</t>
  </si>
  <si>
    <t>0; 10</t>
  </si>
  <si>
    <t>89002 (5 символов)</t>
  </si>
  <si>
    <r>
      <rPr>
        <sz val="11"/>
        <color theme="1"/>
        <rFont val="Arial"/>
        <family val="2"/>
      </rPr>
      <t xml:space="preserve">«» (0 символов)
8 (1 символ)
890022289 (9 символов)
8900222894 (10 символов)
</t>
    </r>
    <r>
      <rPr>
        <strike/>
        <sz val="11"/>
        <color theme="1"/>
        <rFont val="Arial"/>
        <family val="2"/>
      </rPr>
      <t>89002228943 (11 символов)</t>
    </r>
  </si>
  <si>
    <t>Оптимизируем, так как есть проверка 11 символов</t>
  </si>
  <si>
    <t>Более 12 цифр 
(невалидно)</t>
  </si>
  <si>
    <t>13; +∞</t>
  </si>
  <si>
    <t>890022233110686786 (18 символов)</t>
  </si>
  <si>
    <t>DO6</t>
  </si>
  <si>
    <t>11 цифр, начинающихся с 8
(валидно)</t>
  </si>
  <si>
    <t>Так как приложение создается для России, то мобильные номера начинаются с 8</t>
  </si>
  <si>
    <t>11 цифр, начинающихся с любой цифры
(валидно)</t>
  </si>
  <si>
    <t>12 цифр со знаком плюс перед телефоном с начальной цифрой 7(валидно)</t>
  </si>
  <si>
    <t>+790022289438</t>
  </si>
  <si>
    <t>Телефонный код России, её префикс, это +7</t>
  </si>
  <si>
    <t>12 цифр со знаком плюс перед телефоном с любой начальной цифрой (валидно)</t>
  </si>
  <si>
    <t>+090022289438</t>
  </si>
  <si>
    <t>12 цифр со знаком плюс в конце телефона (невалидно)</t>
  </si>
  <si>
    <t>790022289438+</t>
  </si>
  <si>
    <t>Буквы 
(невалидно)</t>
  </si>
  <si>
    <t>89002228l43</t>
  </si>
  <si>
    <t>Дефис 
(невалидно)</t>
  </si>
  <si>
    <t>8-900222894</t>
  </si>
  <si>
    <t>Спецсимволы
(невалидно)</t>
  </si>
  <si>
    <t>~9002228943</t>
  </si>
  <si>
    <t>Пробел 
(невалидно)</t>
  </si>
  <si>
    <t>8 900222894</t>
  </si>
  <si>
    <t>Менее 11 цифр, 
начинающихся с + 
(невалидно)</t>
  </si>
  <si>
    <t>1; 10</t>
  </si>
  <si>
    <t>+79002 (5 символов)</t>
  </si>
  <si>
    <r>
      <rPr>
        <strike/>
        <sz val="11"/>
        <color theme="1"/>
        <rFont val="Arial"/>
        <family val="2"/>
      </rPr>
      <t>«» (0 символов)</t>
    </r>
    <r>
      <rPr>
        <sz val="11"/>
        <color theme="1"/>
        <rFont val="Arial"/>
        <family val="2"/>
      </rPr>
      <t xml:space="preserve">
«+» (1 символ)
+7 (2 символа)
+790022289 (10 символов)
</t>
    </r>
    <r>
      <rPr>
        <b/>
        <sz val="11"/>
        <color theme="1"/>
        <rFont val="Arial"/>
        <family val="2"/>
      </rPr>
      <t>+7900222894 (11 символов)</t>
    </r>
    <r>
      <rPr>
        <sz val="11"/>
        <color theme="1"/>
        <rFont val="Arial"/>
        <family val="2"/>
      </rPr>
      <t xml:space="preserve">
</t>
    </r>
    <r>
      <rPr>
        <b/>
        <sz val="11"/>
        <color theme="1"/>
        <rFont val="Arial"/>
        <family val="2"/>
      </rPr>
      <t>+79002228943 (12 символов)</t>
    </r>
  </si>
  <si>
    <t>Проверяем количественные диапозоны с плюсом вначале, оптимизируем</t>
  </si>
  <si>
    <t>DO1, DO9</t>
  </si>
  <si>
    <t>Более 12 цифр, 
начинаюшихся с +
(невалидно)</t>
  </si>
  <si>
    <t>+790022233110686786 (19 символов)</t>
  </si>
  <si>
    <r>
      <rPr>
        <strike/>
        <sz val="11"/>
        <color rgb="FF000000"/>
        <rFont val="Arial"/>
        <family val="2"/>
      </rPr>
      <t>+790022289438 (13 символов)</t>
    </r>
    <r>
      <rPr>
        <b/>
        <sz val="11"/>
        <color rgb="FF000000"/>
        <rFont val="Arial"/>
        <family val="2"/>
      </rPr>
      <t xml:space="preserve">
</t>
    </r>
    <r>
      <rPr>
        <sz val="11"/>
        <color rgb="FF000000"/>
        <rFont val="Arial"/>
        <family val="2"/>
      </rPr>
      <t>+7900222894343 (14 символов)
+79002228943433 (15 символов)</t>
    </r>
  </si>
  <si>
    <t>Таблица КЭ и ГЗ для поля Дата доставки</t>
  </si>
  <si>
    <t>Требования: Обязательное поле. Выбрать дату можно только с завтрашнего дня. На календаре открывается текущий месяц. Вводить значения вручную в поле нельзя. Когда пользователь выбирает дату, значение сразу подставляется в поле. Пользователь может выбрать другую дату, поле подсвечивается синим.</t>
  </si>
  <si>
    <t>Дата доставки</t>
  </si>
  <si>
    <t>Текущая дата (невалидно)</t>
  </si>
  <si>
    <t>в ячейке используется автоматически обновляемая формлула TODAY()</t>
  </si>
  <si>
    <t>DO8</t>
  </si>
  <si>
    <t>Дата позже текущей (валидно)</t>
  </si>
  <si>
    <t xml:space="preserve">Так как в ячейках используются автоматически обновляемую формлулу TODAY(), то в тестовых данных на границах проверяем еще дату +1 день и -1 день </t>
  </si>
  <si>
    <t>Дата раньше текущей (невалидно)</t>
  </si>
  <si>
    <t>DO7</t>
  </si>
  <si>
    <t>Дата из выпадающего календаря (валидно)</t>
  </si>
  <si>
    <t>Оптимизируем</t>
  </si>
  <si>
    <t>DO10</t>
  </si>
  <si>
    <t>Таблица КЭ и ГЗ для поля Срок аренды</t>
  </si>
  <si>
    <t>Требования: Обязательное поле. Можно выбрать от 1 до 7 суток.</t>
  </si>
  <si>
    <t>Срок аренды</t>
  </si>
  <si>
    <t>Количество суток из выпадающего списка (валидно)</t>
  </si>
  <si>
    <t>1, 7</t>
  </si>
  <si>
    <t>1, 2, 6, 7</t>
  </si>
  <si>
    <t>1 сутки</t>
  </si>
  <si>
    <t>DO11</t>
  </si>
  <si>
    <t>Таблица КЭ и ГЗ для поля Цвет</t>
  </si>
  <si>
    <t>Требования: Не обязательное поле. Чёрный жемчуг, серая безысходность. Можно выбрать как один, так и оба варианта.</t>
  </si>
  <si>
    <t>Цвет</t>
  </si>
  <si>
    <t>Выбран один цвет (валидно)</t>
  </si>
  <si>
    <t>Чёрный жемчуг, серая безысходность</t>
  </si>
  <si>
    <t>Поле пустое (валидно)</t>
  </si>
  <si>
    <t>Выбрано оба варианта (валидно)</t>
  </si>
  <si>
    <t>Таблица КЭ и ГЗ для поля Комментарий</t>
  </si>
  <si>
    <t>Требования: Не обязательное поле. Только русские буквы, цифры, пробел, тире, точка, запятая. Длина не более 24 символов.</t>
  </si>
  <si>
    <t>Комментарий</t>
  </si>
  <si>
    <t>Привет</t>
  </si>
  <si>
    <t>Поле пустое
(валидно)</t>
  </si>
  <si>
    <t>«»(0 символов)</t>
  </si>
  <si>
    <t>Длина менее 24 символов (валидно)</t>
  </si>
  <si>
    <t>0; 24</t>
  </si>
  <si>
    <t>Привет Как дела(15 символов)</t>
  </si>
  <si>
    <r>
      <rPr>
        <sz val="11"/>
        <color theme="1"/>
        <rFont val="Arial"/>
        <family val="2"/>
      </rPr>
      <t xml:space="preserve">«»(0 символов)
П(1 символ)
Привет Как дела морячок
(23 символа)
Привет Как дела морячок?
(24 символа)
</t>
    </r>
    <r>
      <rPr>
        <strike/>
        <sz val="11"/>
        <color theme="1"/>
        <rFont val="Arial"/>
        <family val="2"/>
      </rPr>
      <t>Привет Как дела морячок??
(25 символов)</t>
    </r>
  </si>
  <si>
    <t>Длина более 24 символов (невалидно)</t>
  </si>
  <si>
    <t>25; +∞</t>
  </si>
  <si>
    <t>Привет Как дела морячок??Привет Как дела морячок??(50 символов)</t>
  </si>
  <si>
    <t>DO12</t>
  </si>
  <si>
    <t>Привет.</t>
  </si>
  <si>
    <t>Привет,</t>
  </si>
  <si>
    <t>" Привет"</t>
  </si>
  <si>
    <t>"Привет "</t>
  </si>
  <si>
    <t>Привет поддержка</t>
  </si>
  <si>
    <t>ПРИВЕТ</t>
  </si>
  <si>
    <t>привет</t>
  </si>
  <si>
    <t>Тире (валидно)</t>
  </si>
  <si>
    <t>Привет—Яков</t>
  </si>
  <si>
    <t>Привет-Яков</t>
  </si>
  <si>
    <t>Hi</t>
  </si>
  <si>
    <t>DO14</t>
  </si>
  <si>
    <t>DO15</t>
  </si>
  <si>
    <t>Привет12</t>
  </si>
  <si>
    <t>Привет&amp;</t>
  </si>
  <si>
    <t>DO16</t>
  </si>
  <si>
    <t>ID</t>
  </si>
  <si>
    <t>Название БР</t>
  </si>
  <si>
    <t>Приоритет</t>
  </si>
  <si>
    <t>Предусловия</t>
  </si>
  <si>
    <t>Шаги воспроизведения</t>
  </si>
  <si>
    <t>Ожидаемый результат</t>
  </si>
  <si>
    <t>Фактический результат</t>
  </si>
  <si>
    <t>Приложение</t>
  </si>
  <si>
    <t>При нажатии кнопки "Статус заказа" в шапке страницы выходит поле для ввода номер и кнопка Go!</t>
  </si>
  <si>
    <t>Желательный</t>
  </si>
  <si>
    <t>Открыт</t>
  </si>
  <si>
    <t>Открыта главная страница Яндекс Самокат</t>
  </si>
  <si>
    <t>Нажать на кнопку "Статус заказа"</t>
  </si>
  <si>
    <t>Появится поле для ввода номера заказа</t>
  </si>
  <si>
    <t>Появляется поле для ввода номера заказа и кнопка "Go!"</t>
  </si>
  <si>
    <t>Плейсхолдер в поле для ввода номера заказа в шапке страницы "Введите номер заказа"</t>
  </si>
  <si>
    <t>Плейсхолдер в поле для ввода номера заказа: "Номер заказа"</t>
  </si>
  <si>
    <t>Плейсхолдер в поле для ввода номера заказа: "Введите номер заказа"</t>
  </si>
  <si>
    <t xml:space="preserve">Если поле "Номер заказа" шапки сайта пустое и нажать Enter - не отображается окно с ошибкой </t>
  </si>
  <si>
    <t>Стандартный</t>
  </si>
  <si>
    <t>1. Нажать на кнопку "Статус заказа"
2. Нажать на поле "Номер заказа"
3. Нажать Enter</t>
  </si>
  <si>
    <t>Отобразиться окно с ошибкой</t>
  </si>
  <si>
    <t>Ничего не происходит</t>
  </si>
  <si>
    <t>При вводе пробелов в поле "Номер заказа" шапки сайта и нажатии Enter не отображается окно с ошибкой</t>
  </si>
  <si>
    <t>1. Нажать на кнопку "Статус заказа"
2. Нажать на поле "Номер заказа"
3. Ввести 3 пробела в поле
4. Нажать Enter</t>
  </si>
  <si>
    <t>При вводе несуществующего номера заказа в поле "Номер заказа" под заголовком об ошибке лежит самокат на белом фоне</t>
  </si>
  <si>
    <t>1. Нажать на кнопку "Статус заказа"
2. Нажать на поле "Номер заказа"
3. Ввести 113
4. Нажать на Enter</t>
  </si>
  <si>
    <t>Отобразиться сломанный самокат, лежащий на дороге</t>
  </si>
  <si>
    <t>Отобразиться сломанный самокат, лежащий на белом фоне</t>
  </si>
  <si>
    <t>У всех текстовых полей данных заказа не происходит перенос длинных слов на следующую строку</t>
  </si>
  <si>
    <t>1. Запустить сервер
2. Скопировать адрес стенда
3. Открыть Postman</t>
  </si>
  <si>
    <t>curl --location 'https://c3bd19ee-5b47-43a7-8140-efe32d8e557d.serverhub.praktikum-services.ru/api/v1/orders' \
--header 'Content-Type: application/json' \
--data '{
    "firstName": "Narutfjdsdsfafkdfdsfsdfdsfsdfasfagfgjsdafdsdfo",
    "lastName": "Uchidsfsdasdfsdafsdfsadfsdfsdfsfdfsdfha",
    "address": "Konoha,142dsfsdfasfsfasdaptцуцууцкуцкцукцукцукцукуцкцукцукцукцу.",
    "metroStation": 4,
    "phone": "+780035533485340958320458234034905898098098097007935",
    "rentTime": 5,
    "deliveryDate": "2025-10-30",
    "comment": "Saske,cosadfasdfasdfasdfasdfasdfasdfasdfasdfasdffasasavmebacktoKonoha",
    "color": [
        "BLACK"
    ]
}'</t>
  </si>
  <si>
    <t>Произойдет перенос текста</t>
  </si>
  <si>
    <t>Переноса текста не происходит</t>
  </si>
  <si>
    <t>ST7</t>
  </si>
  <si>
    <t>Дата доставки самоката при оформлении заказа отличается от даты доставки в статусе заказа</t>
  </si>
  <si>
    <t>Критический</t>
  </si>
  <si>
    <t>curl --location 'https://c3bd19ee-5b47-43a7-8140-efe32d8e557d.serverhub.praktikum-services.ru/api/v1/orders' \
--header 'Content-Type: application/json' \
--data '{
    "firstName": "Иван",
    "lastName": "Васюков",
    "address": "ул.Фотиевой, д.13, корп.4",
    "metroStation": 4,
    "phone": "+79653717739",
    "rentTime": 5,
    "deliveryDate": "2025-10-31",
    "comment": "Принесите, пожалуйста, еще шлем",
    "color": [
        "BLACK"
    ]
}'</t>
  </si>
  <si>
    <t>Дата доставки - 31 октября</t>
  </si>
  <si>
    <t>Дата доставки - 5 ноября</t>
  </si>
  <si>
    <t xml:space="preserve">Если имя курьера в статусе доставки слишком длинное и подпись не умещается в одну строчку, имя сокращается до двух букв и троеточия </t>
  </si>
  <si>
    <t>1. Создать курьера с 
"firstName": "saskeFuuuuuuuuuuuuuuuuuuuu"
2. Взять от лица этого курьера заказ</t>
  </si>
  <si>
    <t>Текст перенесется на следующую строчку</t>
  </si>
  <si>
    <t>Текст сокращается</t>
  </si>
  <si>
    <t>Статус №3 не становится активным, когда курьер нажал кнопку "Завершить" у себя в приложении</t>
  </si>
  <si>
    <t>1. Открыть Android-эмулятор
2. Запустить Яндекс.Самокат для курьеров
3. Авторизоваться
4. В Postman создать заказ</t>
  </si>
  <si>
    <t>1. Взять заказ пользователя в приложении от лица курьера
2. Нажать Завершить во вкладке Мои</t>
  </si>
  <si>
    <t>Статус №3 активный</t>
  </si>
  <si>
    <t>Со второго статуса идет автоматический переход на четвертый</t>
  </si>
  <si>
    <t>Когда заказ уже у курьера, кнопка «Отменить заказ» пропадает</t>
  </si>
  <si>
    <t>1. Создать заказ
2. Создать курьера
3. Принять заказ курьером
4. Перейти на главную страницу Яндекс Самоката
5. Ввести трек-номер заказа
6. Посмотреть  под данными заказа</t>
  </si>
  <si>
    <t>Некликабельная кнопка "Отменить"</t>
  </si>
  <si>
    <t>Кнопка отсутствует</t>
  </si>
  <si>
    <t>У кнопки "Хорошо" в окне, подтверждающем отмену заказа, недостаточный отступ от подзаголовка</t>
  </si>
  <si>
    <t>1. Ввести трек-номер заказа в Статус заказа
2. Нажать на кнопку "Отменить заказ"
3. В открывшемся окне нажать на "Отменить"</t>
  </si>
  <si>
    <t>Кнопка "Хорошо" имеет симетричный внешний отступ сверху и снизу</t>
  </si>
  <si>
    <t>Кнопка "Хорошо" прижата к подзаголовку</t>
  </si>
  <si>
    <t>Если в поле "Номер заказа" шапки сайта ввести существующий заказ и нажать клавишу Enter, то ничего не происходит</t>
  </si>
  <si>
    <t>1. Нажать на кнопку "Статус заказа"
2. Нажать на поле "Номер заказа"
3. Ввести существующий трек-номер заказа
4. Нажать Enter</t>
  </si>
  <si>
    <t xml:space="preserve">Отобразиться окно с данными заказа и его статусом </t>
  </si>
  <si>
    <t xml:space="preserve">Если поле "Номер заказа"  в окне "Статус заказа" пустое и нажать Enter - не отображается окно с ошибкой </t>
  </si>
  <si>
    <t>1. Нажать на кнопку "Статус заказа"
2. Нажать на кнопку "Go!"
3. Нажать на поле "Номер заказа" 
4. Нажать Enter</t>
  </si>
  <si>
    <t>При вводе пробелов в поле "Номер заказа" в окне "Статус заказа" и нажатии Enter не отображается окно с ошибкой</t>
  </si>
  <si>
    <t>1. Нажать на кнопку "Статус заказа"
2. Нажать на кнопку "Go!"
3. Нажать на поле "Номер заказа" 
4. Нажать 3 раза на пробел
5. Нажать Enter</t>
  </si>
  <si>
    <t>Если в поле "Номер заказа" в окне "Статус заказа" ввести существующий заказ и нажать клавишу Enter, то ничего не происходит</t>
  </si>
  <si>
    <t>1. Нажать на кнопку "Статус заказа"
2. Нажать на кнопку "Go!"
3. Нажать на поле "Номер заказа" 
4. Ввести существующий трек-номер заказа
5. Нажать Enter</t>
  </si>
  <si>
    <t>Цепочка статусов заказа расположена ниже данных заказа пользователя</t>
  </si>
  <si>
    <t>Цепочка статусов заказа находится справа и на одном уровне с данными пользователя</t>
  </si>
  <si>
    <t>Цепочка статусов находится под данными пользователя</t>
  </si>
  <si>
    <t>После клика по кнопке "Отмена" заказ не удаляется из системы. Пользователь может его посмотреть</t>
  </si>
  <si>
    <t>1. Ввести трек-номер заказа в Статус заказа
2. Нажать на кнопку "Отменить заказ"
3. В открывшемся окне нажать на "Отменить"
4. Нажать на "Хорошо"
5. Ввести этот же трек-номер заказа</t>
  </si>
  <si>
    <t>Отображаются данные отмененного заказа</t>
  </si>
  <si>
    <t>У окна, подтверждающего отмену заказа, непропорциональная длина и ширина сторон</t>
  </si>
  <si>
    <t>Окно подстраивается под длину и ширину экрана</t>
  </si>
  <si>
    <t>Длина и ширина окна статичны. Всплывающее окно выходит за границы экрана</t>
  </si>
  <si>
    <t>ST19</t>
  </si>
  <si>
    <t>Станция метро при оформлении заказа отличается от станции метро в статусе заказа</t>
  </si>
  <si>
    <t>curl --location 'https://b1f91b99-3612-4ea2-94dd-50eef3a8f98b.serverhub.praktikum-services.ru/api/v1/orders' \
--header 'Content-Type: application/json' \
--data '{
    "firstName": "Yury",
    "lastName": "Gorbunov",
    "address": "Ул. Пушкина, д. 142.",
    "metroStation": 4,
    "phone": "+78003553535",
    "rentTime": 2,
    "deliveryDate": "2025-11-04",
    "comment": "",
    "color": []
}'</t>
  </si>
  <si>
    <t>Метро - Сокольники</t>
  </si>
  <si>
    <t>Метро - Красносельская</t>
  </si>
  <si>
    <t>1. curl --location 'https://b1f91b99-3612-4ea2-94dd-50eef3a8f98b.serverhub.praktikum-services.ru/api/v1/orders' \
--header 'Content-Type: application/json' \
--data '{
    "firstName": "Yury",
    "lastName": "Gorbunov",
    "address": "Ул. Пушкина, д. 142.",
    "metroStation": 4,
    "phone": "+78003553535",
    "rentTime": 2,
    "deliveryDate": "2025-11-04",
    "comment": "",
    "color": []
}'
2. Принять курьером заказ в мобильном приложении
3. Завершить заказ в приложении для курьеров
4. Переставить дату на компьютере позже той, когда заканчивается время аренды</t>
  </si>
  <si>
    <t>Статус становится серым</t>
  </si>
  <si>
    <t>Статус активный - черный</t>
  </si>
  <si>
    <t>Четверка в статусе становится галочкой</t>
  </si>
  <si>
    <t>Четверка остается четверкой</t>
  </si>
  <si>
    <t>ST22</t>
  </si>
  <si>
    <t>Кнопка в окне формы "Для кого самокат" имеет заголовок "Далее"</t>
  </si>
  <si>
    <t>Нажать на кнопку "Заказать"</t>
  </si>
  <si>
    <t>Внизу кнопка «Дальше»</t>
  </si>
  <si>
    <t>Внизу кнопка «Далее»</t>
  </si>
  <si>
    <t>DO1</t>
  </si>
  <si>
    <t>Поле Телефон на экране "Сделать заказ" принимает ввод 10 цифр, начинающихся с плюса</t>
  </si>
  <si>
    <r>
      <rPr>
        <sz val="11"/>
        <color theme="1"/>
        <rFont val="Arial"/>
        <family val="2"/>
      </rPr>
      <t>1. Нажать на кнопку Заказать"
2. В поле Телефон ввести:</t>
    </r>
    <r>
      <rPr>
        <b/>
        <sz val="11"/>
        <color theme="1"/>
        <rFont val="Arial"/>
        <family val="2"/>
      </rPr>
      <t xml:space="preserve"> +7900222894
</t>
    </r>
    <r>
      <rPr>
        <sz val="11"/>
        <color theme="1"/>
        <rFont val="Arial"/>
        <family val="2"/>
      </rPr>
      <t>3. Снять фокус с поля</t>
    </r>
  </si>
  <si>
    <t>Рамка красная, под полем сообщение "Введите корректный телефон"</t>
  </si>
  <si>
    <t>Поле принимает значение: рамка становится черной</t>
  </si>
  <si>
    <t>Поле Фамилия на экране "Сделать заказ" принимает на ввод более 15 символов</t>
  </si>
  <si>
    <r>
      <rPr>
        <sz val="11"/>
        <color theme="1"/>
        <rFont val="Arial"/>
        <family val="2"/>
      </rPr>
      <t xml:space="preserve">1. Нажать на кнопку "Заказать"
2. В поле Фамилия ввести: </t>
    </r>
    <r>
      <rPr>
        <b/>
        <sz val="11"/>
        <color theme="1"/>
        <rFont val="Arial"/>
        <family val="2"/>
      </rPr>
      <t>ВикторияВиктория</t>
    </r>
    <r>
      <rPr>
        <sz val="11"/>
        <color theme="1"/>
        <rFont val="Arial"/>
        <family val="2"/>
      </rPr>
      <t xml:space="preserve">
3. Снять фокус с поля</t>
    </r>
  </si>
  <si>
    <t>Рамка поля Фамилия красная. Под полем сообщение "Введите корректную фамилию"</t>
  </si>
  <si>
    <t>Поле Адрес на экране "Сделать заказ" принимает пустое поле</t>
  </si>
  <si>
    <t>1. Нажать на кнопку "Заказать"
2. Нажать на поле Адрес
3. Снять фокус с поля</t>
  </si>
  <si>
    <t>Рамка поля Адрес красная, под полем сообщение "Введите корректный адрес"</t>
  </si>
  <si>
    <t>Поле Адрес на экране "Сделать заказ" выдает ошибку при вводе дроби</t>
  </si>
  <si>
    <r>
      <rPr>
        <sz val="11"/>
        <color theme="1"/>
        <rFont val="Arial"/>
        <family val="2"/>
      </rPr>
      <t xml:space="preserve">1. Нажать на кнопку "Заказать"
2. Нажать на поле Адрес
3. В поле Адрес ввести: </t>
    </r>
    <r>
      <rPr>
        <b/>
        <sz val="11"/>
        <color theme="1"/>
        <rFont val="Arial"/>
        <family val="2"/>
      </rPr>
      <t xml:space="preserve">Фотиевой/
</t>
    </r>
    <r>
      <rPr>
        <sz val="11"/>
        <color theme="1"/>
        <rFont val="Arial"/>
        <family val="2"/>
      </rPr>
      <t>4. Снять фокус с поля</t>
    </r>
  </si>
  <si>
    <t>Рамка красная, под полем сообщение "Введите корректный адрес"</t>
  </si>
  <si>
    <t>Поле Телефон на экране "Сделать заказ" принимает ввод 13 символов</t>
  </si>
  <si>
    <r>
      <rPr>
        <sz val="11"/>
        <color theme="1"/>
        <rFont val="Arial"/>
        <family val="2"/>
      </rPr>
      <t xml:space="preserve">1. Нажать на кнопку "Заказать"
2. Нажать на поле Телефон
3. В поле Адрес ввести: </t>
    </r>
    <r>
      <rPr>
        <b/>
        <sz val="11"/>
        <color theme="1"/>
        <rFont val="Arial"/>
        <family val="2"/>
      </rPr>
      <t xml:space="preserve">8900222894343
</t>
    </r>
    <r>
      <rPr>
        <sz val="11"/>
        <color theme="1"/>
        <rFont val="Arial"/>
        <family val="2"/>
      </rPr>
      <t>4. Снять фокус с поля</t>
    </r>
  </si>
  <si>
    <t>Поле Дата доставки принимает выбор прошедшей даты</t>
  </si>
  <si>
    <t>1. Открыть главную страницу Яндекс Самокат
2. Нажать на кнопку "Заказать"
3. Заполнить: 
Имя - Виктор
Фамилия - Ерофеев
Адрес - Фотиевой, 14
Метро - Черкизовская
Телефон - +790022289438
4. Нажать кнопку "Заказать"</t>
  </si>
  <si>
    <r>
      <rPr>
        <sz val="11"/>
        <color theme="1"/>
        <rFont val="Arial"/>
        <family val="2"/>
      </rPr>
      <t xml:space="preserve">1. В открывшемся окне "Про аренду" нажать на поле "Дата доставки"
2. Выбрать </t>
    </r>
    <r>
      <rPr>
        <b/>
        <sz val="11"/>
        <color theme="1"/>
        <rFont val="Arial"/>
        <family val="2"/>
      </rPr>
      <t>вчерашнюю дату</t>
    </r>
  </si>
  <si>
    <t>Календарь за прошлые даты неклибельный</t>
  </si>
  <si>
    <t>В поле Дата доставки стоит вчерашний день</t>
  </si>
  <si>
    <t>Поле Дата доставки принимает выбор текущей даты</t>
  </si>
  <si>
    <r>
      <rPr>
        <sz val="11"/>
        <color theme="1"/>
        <rFont val="Arial"/>
        <family val="2"/>
      </rPr>
      <t xml:space="preserve">1. В открывшемся окне "Про аренду" нажать на поле "Дата доставки"
2. Выбрать </t>
    </r>
    <r>
      <rPr>
        <b/>
        <sz val="11"/>
        <color theme="1"/>
        <rFont val="Arial"/>
        <family val="2"/>
      </rPr>
      <t>текущую дату</t>
    </r>
  </si>
  <si>
    <t>Календарь не даёт выбрать текущую дату</t>
  </si>
  <si>
    <t>В поле Дата доставки стоит текущая дата</t>
  </si>
  <si>
    <t>DO9</t>
  </si>
  <si>
    <t>Поле Телефон на экране "Сделать заказ" принимает ввод 11 цифр, начинающихся с плюса</t>
  </si>
  <si>
    <r>
      <rPr>
        <sz val="11"/>
        <color theme="1"/>
        <rFont val="Arial"/>
        <family val="2"/>
      </rPr>
      <t>1. Нажать на кнопку Заказать"
2. В поле Телефон ввести:</t>
    </r>
    <r>
      <rPr>
        <b/>
        <sz val="11"/>
        <color theme="1"/>
        <rFont val="Arial"/>
        <family val="2"/>
      </rPr>
      <t xml:space="preserve"> +79002228943
</t>
    </r>
    <r>
      <rPr>
        <sz val="11"/>
        <color theme="1"/>
        <rFont val="Arial"/>
        <family val="2"/>
      </rPr>
      <t>3. Снять фокус с поля</t>
    </r>
  </si>
  <si>
    <t>Поле Дата доставки можно оставить пустым</t>
  </si>
  <si>
    <t>1. В открывшемся окне "Про аренду" нажать на поле "Дата доставки"
2. Снять фокус с поля</t>
  </si>
  <si>
    <t>Рамка красная, под полем сообщение "Введите дату доставки"</t>
  </si>
  <si>
    <t>Рамка поля серая</t>
  </si>
  <si>
    <t>В поле Комментарий можно ввести больше 24 символов</t>
  </si>
  <si>
    <r>
      <rPr>
        <sz val="11"/>
        <color theme="1"/>
        <rFont val="Arial"/>
        <family val="2"/>
      </rPr>
      <t xml:space="preserve">1. В открывшемся окне "Про аренду" нажать на поле "Комментарий"
2. Ввести: </t>
    </r>
    <r>
      <rPr>
        <b/>
        <sz val="11"/>
        <color theme="1"/>
        <rFont val="Arial"/>
        <family val="2"/>
      </rPr>
      <t xml:space="preserve">Привет Как дела морячок??
</t>
    </r>
    <r>
      <rPr>
        <sz val="11"/>
        <color theme="1"/>
        <rFont val="Arial"/>
        <family val="2"/>
      </rPr>
      <t>3. Снять фокус с поля</t>
    </r>
  </si>
  <si>
    <t>Рамка красная, под полем сообщение об ограничении по количеству вводимых символов</t>
  </si>
  <si>
    <t>В поле Комментарий можно ввести английские буквы</t>
  </si>
  <si>
    <r>
      <rPr>
        <sz val="11"/>
        <color theme="1"/>
        <rFont val="Arial"/>
        <family val="2"/>
      </rPr>
      <t xml:space="preserve">1. В открывшемся окне "Про аренду" нажать на поле "Комментарий"
2. Ввести: </t>
    </r>
    <r>
      <rPr>
        <b/>
        <sz val="11"/>
        <color theme="1"/>
        <rFont val="Arial"/>
        <family val="2"/>
      </rPr>
      <t xml:space="preserve">Hi girl
</t>
    </r>
    <r>
      <rPr>
        <sz val="11"/>
        <color theme="1"/>
        <rFont val="Arial"/>
        <family val="2"/>
      </rPr>
      <t>3. Снять фокус с поля</t>
    </r>
  </si>
  <si>
    <t>Рамка красная, под полем сообщение о некорректном вводе</t>
  </si>
  <si>
    <t>В поле Комментарий можно ввести арабские буквы</t>
  </si>
  <si>
    <r>
      <rPr>
        <sz val="11"/>
        <color theme="1"/>
        <rFont val="Arial"/>
        <family val="2"/>
      </rPr>
      <t>1. В открывшемся окне "Про аренду" нажать на поле "Комментарий"
2. Ввести:</t>
    </r>
    <r>
      <rPr>
        <b/>
        <sz val="11"/>
        <color theme="1"/>
        <rFont val="Arial"/>
        <family val="2"/>
      </rPr>
      <t xml:space="preserve"> ب غوريون
</t>
    </r>
    <r>
      <rPr>
        <sz val="11"/>
        <color theme="1"/>
        <rFont val="Arial"/>
        <family val="2"/>
      </rPr>
      <t>3. Снять фокус с поля</t>
    </r>
  </si>
  <si>
    <t>В поле Комментарий можно ввести спецсимволы</t>
  </si>
  <si>
    <r>
      <rPr>
        <sz val="11"/>
        <color theme="1"/>
        <rFont val="Arial"/>
        <family val="2"/>
      </rPr>
      <t>1. В открывшемся окне "Про аренду" нажать на поле "Комментарий"
2. Ввести:</t>
    </r>
    <r>
      <rPr>
        <b/>
        <sz val="11"/>
        <color theme="1"/>
        <rFont val="Arial"/>
        <family val="2"/>
      </rPr>
      <t xml:space="preserve"> Привет&amp;
</t>
    </r>
    <r>
      <rPr>
        <sz val="11"/>
        <color theme="1"/>
        <rFont val="Arial"/>
        <family val="2"/>
      </rPr>
      <t>3. Снять фокус с поля</t>
    </r>
  </si>
  <si>
    <t>Поле Имя на экране "Сделать заказ" выдает ошибку на ввод дефиса</t>
  </si>
  <si>
    <r>
      <rPr>
        <sz val="11"/>
        <color theme="1"/>
        <rFont val="Arial"/>
        <family val="2"/>
      </rPr>
      <t xml:space="preserve">1. Нажать на кнопку "Заказать"
2. В поле Имя ввести: </t>
    </r>
    <r>
      <rPr>
        <b/>
        <sz val="11"/>
        <color theme="1"/>
        <rFont val="Arial"/>
        <family val="2"/>
      </rPr>
      <t>Анна-Мария</t>
    </r>
    <r>
      <rPr>
        <sz val="11"/>
        <color theme="1"/>
        <rFont val="Arial"/>
        <family val="2"/>
      </rPr>
      <t xml:space="preserve">
3. Снять фокус с поля</t>
    </r>
  </si>
  <si>
    <t>Рамка красная, под полем сообщение "Введите корректное имя"</t>
  </si>
  <si>
    <t>Поле Фамилия на экране "Сделать заказ" выдает ошибку на ввод дефиса</t>
  </si>
  <si>
    <r>
      <rPr>
        <sz val="11"/>
        <color theme="1"/>
        <rFont val="Arial"/>
        <family val="2"/>
      </rPr>
      <t xml:space="preserve">1. Нажать на кнопку "Заказать"
2. В поле Фамилия ввести: </t>
    </r>
    <r>
      <rPr>
        <b/>
        <sz val="11"/>
        <color theme="1"/>
        <rFont val="Arial"/>
        <family val="2"/>
      </rPr>
      <t>Петров-Васечкин</t>
    </r>
    <r>
      <rPr>
        <sz val="11"/>
        <color theme="1"/>
        <rFont val="Arial"/>
        <family val="2"/>
      </rPr>
      <t xml:space="preserve">
3. Снять фокус с поля</t>
    </r>
  </si>
  <si>
    <t>Рамка красная, под полем сообщение "Введите корректную фамилию"</t>
  </si>
  <si>
    <t>Order2</t>
  </si>
  <si>
    <t>Поле Адрес необязательное для заполнения</t>
  </si>
  <si>
    <t>1. Открыть главную страницу Яндекс Самокат
 2. Нажать на кнопку "Заказать"
 3. Заполнить в первой форме Для кого самокат:
 Имя - Виктор
 Фамилия - Ерофеев
 Адрес - Фотиевой, 14
 Метро - Черкизовская
 Телефон - +790022289438
 4. Нажать кнопку "Далее"</t>
  </si>
  <si>
    <t>Под полем Адрес выйдет сообщение об ошибке</t>
  </si>
  <si>
    <t>Открывается следующая форма Про аренду</t>
  </si>
  <si>
    <r>
      <rPr>
        <strike/>
        <sz val="11"/>
        <color theme="1"/>
        <rFont val="Arial"/>
        <family val="2"/>
        <charset val="204"/>
      </rPr>
      <t>ВикторияВиктори (15 символов)</t>
    </r>
    <r>
      <rPr>
        <sz val="11"/>
        <color theme="1"/>
        <rFont val="Arial"/>
        <family val="2"/>
        <charset val="204"/>
      </rPr>
      <t xml:space="preserve">
ВикторияВиктория (16 символов)
ВикторияВикторияВ (17 символов)</t>
    </r>
  </si>
  <si>
    <r>
      <rPr>
        <sz val="11"/>
        <color theme="1"/>
        <rFont val="Arial"/>
        <family val="2"/>
        <charset val="204"/>
      </rPr>
      <t>«» (0 символов)
Ф (1 символ)
Фот (3 символа)</t>
    </r>
    <r>
      <rPr>
        <strike/>
        <sz val="11"/>
        <color theme="1"/>
        <rFont val="Arial"/>
        <family val="2"/>
        <charset val="204"/>
      </rPr>
      <t xml:space="preserve">
</t>
    </r>
    <r>
      <rPr>
        <sz val="11"/>
        <color theme="1"/>
        <rFont val="Arial"/>
        <family val="2"/>
        <charset val="204"/>
      </rPr>
      <t xml:space="preserve">Фоти (4 символа)
</t>
    </r>
    <r>
      <rPr>
        <strike/>
        <sz val="11"/>
        <color theme="1"/>
        <rFont val="Arial"/>
        <family val="2"/>
        <charset val="204"/>
      </rPr>
      <t>Фотие (5 символов)</t>
    </r>
  </si>
  <si>
    <r>
      <rPr>
        <strike/>
        <sz val="11"/>
        <color rgb="FF000000"/>
        <rFont val="Arial"/>
        <family val="2"/>
      </rPr>
      <t xml:space="preserve">890022289434 (12 символов)
</t>
    </r>
    <r>
      <rPr>
        <sz val="11"/>
        <color rgb="FF000000"/>
        <rFont val="Arial"/>
        <family val="2"/>
        <charset val="204"/>
      </rPr>
      <t>8900222894343 (13 символов)</t>
    </r>
    <r>
      <rPr>
        <sz val="11"/>
        <color rgb="FF000000"/>
        <rFont val="Arial"/>
        <family val="2"/>
      </rPr>
      <t xml:space="preserve">
89002228943433 (14 символов)</t>
    </r>
  </si>
  <si>
    <r>
      <rPr>
        <strike/>
        <sz val="11"/>
        <color theme="1"/>
        <rFont val="Arial"/>
        <family val="2"/>
        <charset val="204"/>
      </rPr>
      <t>Привет Как дела морячок?
(24 символа)</t>
    </r>
    <r>
      <rPr>
        <sz val="11"/>
        <color theme="1"/>
        <rFont val="Arial"/>
        <family val="2"/>
        <charset val="204"/>
      </rPr>
      <t xml:space="preserve">
Привет Как дела морячок??
(25 символов)
Привет Как дела морячок???
(26 символов)</t>
    </r>
  </si>
  <si>
    <t>Logo</t>
  </si>
  <si>
    <t>Смена логотипа при загрузке данных о заказе и статусе доставки</t>
  </si>
  <si>
    <t xml:space="preserve">1. Нажать на кнопку "Статус заказа"
2. Ввести существующий трек-номер заказа
3. Нажать на кнопку "Go!"
4. Посмотреть на логотип
</t>
  </si>
  <si>
    <t>Логотип останется неизменным</t>
  </si>
  <si>
    <t>Слова Самокат и Яндекс поменялись местами</t>
  </si>
  <si>
    <t>Name</t>
  </si>
  <si>
    <t>Модель самоката на главной странице Toxic PRO</t>
  </si>
  <si>
    <t>1. Доскролить до смены чертежа самоката на фотографию
2. Найти слева характеристики самоката</t>
  </si>
  <si>
    <r>
      <rPr>
        <sz val="11"/>
        <color theme="1"/>
        <rFont val="Arial"/>
        <family val="2"/>
      </rPr>
      <t xml:space="preserve">Название модели самоката: </t>
    </r>
    <r>
      <rPr>
        <b/>
        <sz val="11"/>
        <color theme="1"/>
        <rFont val="Arial"/>
        <family val="2"/>
      </rPr>
      <t>Topchic PRO</t>
    </r>
  </si>
  <si>
    <t>Модель Toxic PRO</t>
  </si>
  <si>
    <t>Plhold</t>
  </si>
  <si>
    <t xml:space="preserve">Плейсхолдер поля Адрес в форме Для кого самокат "Адрес: куда привезти заказ" </t>
  </si>
  <si>
    <t>1. Нажать на кнопку "Заказать"
2. Найти поле Адрес</t>
  </si>
  <si>
    <t>Плейсхолдер: Адрес: куда привезти самокат</t>
  </si>
  <si>
    <t>Плейсхолдер: Адрес: куда привезти заказ</t>
  </si>
  <si>
    <t>Order1</t>
  </si>
  <si>
    <t>После заполнения всех данных в форме Заказа самоката всплывает окно для подтверждения заказа</t>
  </si>
  <si>
    <t>1. Открыть главную страницу Яндекс Самокат
2. Нажать на кнопку "Заказать"
3. Заполнить в первой форме Для кого самокат:
Имя - Виктор
Фамилия - Ерофеев
Адрес - Фотиевой, 14
Метро - Черкизовская
Телефон - +790022289438
4. Заполнить во второй форме Про аренду:
Когда привезти самокат - 10.10.2025
Срок аренды - двое суток
5. Нажать кнопку "Заказать"</t>
  </si>
  <si>
    <t>Появится всплывающее окно с
текстом «Номер заказа NNNNN. Запишите его: пригодится, чтобы
отслеживать статус» и кнопкой «Посмотреть статус».</t>
  </si>
  <si>
    <t>Появляется всплывающее окно "Хотите оформить заказ?" с кнопками "Нет" и "Да", где после "Да" ничего не происходит</t>
  </si>
  <si>
    <t>Order3</t>
  </si>
  <si>
    <t>Заказ нельзя оформить в Chrome</t>
  </si>
  <si>
    <t>Блокирующий</t>
  </si>
  <si>
    <t>1. Открыть главную страницу Яндекс Самокат в Chrome
2. Нажать на кнопку "Заказать"
3. Заполнить в первой форме Для кого самокат:
Имя - Виктор
Фамилия - Ерофеев
Адрес - Фотиевой, 14
Метро - Черкизовская
Телефон - +790022289438
4. Заполнить во второй форме Про аренду:
Когда привезти самокат - 10.10.2025
Срок аренды - двое суток
5. Нажать кнопку "Заказать"
6. Подтвердить оформление</t>
  </si>
  <si>
    <t>Ничего не просходит</t>
  </si>
  <si>
    <t>Order4</t>
  </si>
  <si>
    <t>Заказ нельзя оформить в Яндекс браузере с разрешением экрана 1920×1080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</si>
</sst>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\.yyyy"/>
    <numFmt numFmtId="165" formatCode="dd\.mm\.yyyy"/>
  </numFmts>
  <fonts count="23" x14ac:knownFonts="1">
    <font>
      <sz val="10"/>
      <color rgb="FF000000"/>
      <name val="Calibri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000FF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color rgb="FF1155CC"/>
      <name val="Arial"/>
      <family val="2"/>
    </font>
    <font>
      <sz val="10"/>
      <color theme="1"/>
      <name val="Arial"/>
      <family val="2"/>
    </font>
    <font>
      <strike/>
      <sz val="11"/>
      <color theme="1"/>
      <name val="Calibri"/>
      <family val="2"/>
      <scheme val="minor"/>
    </font>
    <font>
      <strike/>
      <sz val="11"/>
      <color theme="1"/>
      <name val="Arial"/>
      <family val="2"/>
    </font>
    <font>
      <sz val="11"/>
      <color rgb="FF000000"/>
      <name val="Arial"/>
      <family val="2"/>
    </font>
    <font>
      <strike/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Calibri"/>
      <family val="2"/>
      <scheme val="minor"/>
    </font>
    <font>
      <strike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trike/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2"/>
        <bgColor rgb="FFB4A7D6"/>
      </patternFill>
    </fill>
    <fill>
      <patternFill patternType="solid">
        <fgColor theme="2"/>
        <bgColor indexed="64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rgb="FFB4A7D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4CCCC"/>
      </patternFill>
    </fill>
  </fills>
  <borders count="2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indexed="64"/>
      </right>
      <top style="thin">
        <color rgb="FF999999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22" fillId="0" borderId="0"/>
  </cellStyleXfs>
  <cellXfs count="173">
    <xf numFmtId="0" fontId="0" fillId="0" borderId="0" xfId="0"/>
    <xf numFmtId="0" fontId="5" fillId="0" borderId="0" xfId="0" applyFont="1"/>
    <xf numFmtId="0" fontId="2" fillId="2" borderId="4" xfId="0" applyFont="1" applyFill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4" xfId="0" applyFont="1" applyBorder="1" applyAlignment="1">
      <alignment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/>
    <xf numFmtId="0" fontId="5" fillId="5" borderId="4" xfId="0" applyFont="1" applyFill="1" applyBorder="1" applyAlignment="1">
      <alignment vertical="center" wrapText="1"/>
    </xf>
    <xf numFmtId="0" fontId="3" fillId="0" borderId="4" xfId="0" applyFont="1" applyBorder="1" applyAlignment="1">
      <alignment horizontal="left" vertical="center" wrapText="1"/>
    </xf>
    <xf numFmtId="0" fontId="5" fillId="5" borderId="4" xfId="0" applyFont="1" applyFill="1" applyBorder="1" applyAlignment="1">
      <alignment horizontal="right" vertical="center"/>
    </xf>
    <xf numFmtId="0" fontId="6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horizontal="right" vertical="center"/>
    </xf>
    <xf numFmtId="0" fontId="5" fillId="6" borderId="4" xfId="0" applyFont="1" applyFill="1" applyBorder="1" applyAlignment="1">
      <alignment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/>
    <xf numFmtId="0" fontId="1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6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right" vertical="center"/>
    </xf>
    <xf numFmtId="0" fontId="5" fillId="7" borderId="4" xfId="0" applyFont="1" applyFill="1" applyBorder="1" applyAlignment="1">
      <alignment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left" vertical="center"/>
    </xf>
    <xf numFmtId="0" fontId="5" fillId="0" borderId="4" xfId="0" applyFont="1" applyBorder="1"/>
    <xf numFmtId="0" fontId="5" fillId="6" borderId="6" xfId="0" applyFont="1" applyFill="1" applyBorder="1" applyAlignment="1">
      <alignment horizontal="right" vertical="center"/>
    </xf>
    <xf numFmtId="0" fontId="5" fillId="6" borderId="3" xfId="0" applyFont="1" applyFill="1" applyBorder="1" applyAlignment="1">
      <alignment vertical="center" wrapText="1"/>
    </xf>
    <xf numFmtId="0" fontId="5" fillId="0" borderId="7" xfId="0" applyFont="1" applyBorder="1" applyAlignment="1">
      <alignment horizontal="right" vertical="center"/>
    </xf>
    <xf numFmtId="0" fontId="5" fillId="0" borderId="8" xfId="0" applyFont="1" applyBorder="1" applyAlignment="1">
      <alignment vertical="center" wrapText="1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wrapText="1"/>
    </xf>
    <xf numFmtId="0" fontId="3" fillId="8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 wrapText="1"/>
    </xf>
    <xf numFmtId="0" fontId="3" fillId="8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wrapText="1"/>
    </xf>
    <xf numFmtId="0" fontId="5" fillId="0" borderId="9" xfId="0" applyFont="1" applyBorder="1" applyAlignment="1">
      <alignment horizontal="center" wrapText="1"/>
    </xf>
    <xf numFmtId="0" fontId="5" fillId="0" borderId="10" xfId="0" applyFont="1" applyBorder="1" applyAlignment="1">
      <alignment wrapText="1"/>
    </xf>
    <xf numFmtId="0" fontId="5" fillId="0" borderId="9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3" fillId="8" borderId="17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5" fillId="0" borderId="9" xfId="0" quotePrefix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4" xfId="0" applyFont="1" applyBorder="1" applyAlignment="1">
      <alignment vertical="center"/>
    </xf>
    <xf numFmtId="0" fontId="17" fillId="0" borderId="4" xfId="0" applyFont="1" applyBorder="1"/>
    <xf numFmtId="0" fontId="11" fillId="0" borderId="0" xfId="0" applyFont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left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5" fillId="10" borderId="9" xfId="0" applyFont="1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left" vertical="center" wrapText="1"/>
    </xf>
    <xf numFmtId="0" fontId="3" fillId="10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11" borderId="9" xfId="0" applyFont="1" applyFill="1" applyBorder="1" applyAlignment="1">
      <alignment horizontal="center" vertical="center" wrapText="1"/>
    </xf>
    <xf numFmtId="0" fontId="1" fillId="11" borderId="9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20" fillId="11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left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left" vertical="center" wrapText="1"/>
    </xf>
    <xf numFmtId="0" fontId="5" fillId="9" borderId="1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left" vertical="center" wrapText="1"/>
    </xf>
    <xf numFmtId="0" fontId="19" fillId="9" borderId="4" xfId="0" applyFont="1" applyFill="1" applyBorder="1" applyAlignment="1">
      <alignment horizontal="center" vertical="center" wrapText="1"/>
    </xf>
    <xf numFmtId="0" fontId="21" fillId="11" borderId="9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wrapText="1"/>
    </xf>
    <xf numFmtId="0" fontId="3" fillId="10" borderId="4" xfId="0" applyFont="1" applyFill="1" applyBorder="1" applyAlignment="1">
      <alignment horizontal="center" vertical="center" wrapText="1"/>
    </xf>
    <xf numFmtId="0" fontId="5" fillId="9" borderId="9" xfId="0" quotePrefix="1" applyFont="1" applyFill="1" applyBorder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14" fillId="9" borderId="9" xfId="0" quotePrefix="1" applyFont="1" applyFill="1" applyBorder="1" applyAlignment="1">
      <alignment horizontal="center" vertical="center"/>
    </xf>
    <xf numFmtId="0" fontId="17" fillId="9" borderId="0" xfId="0" applyFont="1" applyFill="1"/>
    <xf numFmtId="14" fontId="5" fillId="9" borderId="10" xfId="0" applyNumberFormat="1" applyFont="1" applyFill="1" applyBorder="1" applyAlignment="1">
      <alignment horizontal="center" vertical="center" wrapText="1"/>
    </xf>
    <xf numFmtId="0" fontId="3" fillId="9" borderId="10" xfId="0" applyFont="1" applyFill="1" applyBorder="1" applyAlignment="1">
      <alignment horizontal="center" vertical="center" wrapText="1"/>
    </xf>
    <xf numFmtId="165" fontId="20" fillId="10" borderId="9" xfId="0" applyNumberFormat="1" applyFont="1" applyFill="1" applyBorder="1" applyAlignment="1">
      <alignment horizontal="center" vertical="center" wrapText="1"/>
    </xf>
    <xf numFmtId="0" fontId="5" fillId="9" borderId="23" xfId="0" applyFont="1" applyFill="1" applyBorder="1" applyAlignment="1">
      <alignment horizontal="center" vertical="center" wrapText="1"/>
    </xf>
    <xf numFmtId="0" fontId="3" fillId="9" borderId="23" xfId="0" applyFont="1" applyFill="1" applyBorder="1" applyAlignment="1">
      <alignment horizontal="center" vertical="center" wrapText="1"/>
    </xf>
    <xf numFmtId="0" fontId="3" fillId="4" borderId="23" xfId="0" applyFont="1" applyFill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1" fillId="10" borderId="9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vertical="center" wrapText="1"/>
    </xf>
    <xf numFmtId="0" fontId="3" fillId="10" borderId="14" xfId="0" applyFont="1" applyFill="1" applyBorder="1" applyAlignment="1">
      <alignment horizontal="left" vertical="center" wrapText="1"/>
    </xf>
    <xf numFmtId="0" fontId="11" fillId="10" borderId="14" xfId="0" applyFont="1" applyFill="1" applyBorder="1" applyAlignment="1">
      <alignment horizontal="center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left" vertical="center" wrapText="1"/>
    </xf>
    <xf numFmtId="0" fontId="11" fillId="10" borderId="23" xfId="0" applyFont="1" applyFill="1" applyBorder="1" applyAlignment="1">
      <alignment horizontal="center" vertical="center" wrapText="1"/>
    </xf>
    <xf numFmtId="0" fontId="3" fillId="10" borderId="23" xfId="0" applyFont="1" applyFill="1" applyBorder="1" applyAlignment="1">
      <alignment horizontal="center" vertical="center" wrapText="1"/>
    </xf>
    <xf numFmtId="0" fontId="3" fillId="10" borderId="23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24" xfId="0" applyFont="1" applyFill="1" applyBorder="1" applyAlignment="1">
      <alignment horizontal="left" vertical="center" wrapText="1"/>
    </xf>
    <xf numFmtId="0" fontId="5" fillId="0" borderId="0" xfId="0" applyFont="1"/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6" fillId="3" borderId="5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14" xfId="0" applyFont="1" applyBorder="1" applyAlignment="1">
      <alignment horizontal="center" vertical="center" wrapText="1"/>
    </xf>
    <xf numFmtId="0" fontId="4" fillId="0" borderId="15" xfId="0" applyFont="1" applyBorder="1"/>
    <xf numFmtId="0" fontId="4" fillId="0" borderId="16" xfId="0" applyFont="1" applyBorder="1"/>
    <xf numFmtId="0" fontId="6" fillId="4" borderId="0" xfId="0" applyFont="1" applyFill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0" fillId="0" borderId="23" xfId="0" applyBorder="1"/>
    <xf numFmtId="0" fontId="5" fillId="8" borderId="0" xfId="0" applyFont="1" applyFill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1" xfId="0" applyFont="1" applyBorder="1"/>
    <xf numFmtId="0" fontId="4" fillId="0" borderId="12" xfId="0" applyFont="1" applyBorder="1"/>
    <xf numFmtId="0" fontId="5" fillId="9" borderId="13" xfId="0" applyFont="1" applyFill="1" applyBorder="1" applyAlignment="1">
      <alignment wrapText="1"/>
    </xf>
    <xf numFmtId="0" fontId="4" fillId="10" borderId="13" xfId="0" applyFont="1" applyFill="1" applyBorder="1"/>
    <xf numFmtId="0" fontId="6" fillId="8" borderId="0" xfId="0" applyFont="1" applyFill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4" fillId="10" borderId="12" xfId="0" applyFont="1" applyFill="1" applyBorder="1"/>
    <xf numFmtId="0" fontId="5" fillId="0" borderId="13" xfId="0" applyFont="1" applyBorder="1" applyAlignment="1">
      <alignment horizontal="center" vertical="center" wrapText="1"/>
    </xf>
    <xf numFmtId="0" fontId="4" fillId="0" borderId="13" xfId="0" applyFont="1" applyBorder="1"/>
    <xf numFmtId="0" fontId="4" fillId="0" borderId="22" xfId="0" applyFont="1" applyBorder="1"/>
    <xf numFmtId="0" fontId="5" fillId="0" borderId="19" xfId="0" applyFont="1" applyBorder="1" applyAlignment="1">
      <alignment horizontal="center" vertical="center" wrapText="1"/>
    </xf>
    <xf numFmtId="0" fontId="4" fillId="0" borderId="20" xfId="0" applyFont="1" applyBorder="1"/>
    <xf numFmtId="0" fontId="4" fillId="0" borderId="21" xfId="0" applyFont="1" applyBorder="1"/>
    <xf numFmtId="0" fontId="22" fillId="0" borderId="0" xfId="1"/>
    <xf numFmtId="0" fontId="5" fillId="0" borderId="25" xfId="1" applyFont="1" applyBorder="1" applyAlignment="1">
      <alignment horizontal="center" vertical="center" wrapText="1"/>
    </xf>
    <xf numFmtId="0" fontId="3" fillId="0" borderId="25" xfId="1" applyFont="1" applyBorder="1" applyAlignment="1">
      <alignment horizontal="left" vertical="center" wrapText="1"/>
    </xf>
    <xf numFmtId="0" fontId="3" fillId="0" borderId="25" xfId="1" applyFont="1" applyBorder="1" applyAlignment="1">
      <alignment horizontal="center" vertical="center" wrapText="1"/>
    </xf>
    <xf numFmtId="0" fontId="2" fillId="3" borderId="25" xfId="1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 xr:uid="{1B29F362-DC66-C640-BBA9-71685DCEAE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13" Type="http://schemas.openxmlformats.org/officeDocument/2006/relationships/image" Target="../media/image17.png"/><Relationship Id="rId18" Type="http://schemas.openxmlformats.org/officeDocument/2006/relationships/image" Target="../media/image22.png"/><Relationship Id="rId3" Type="http://schemas.openxmlformats.org/officeDocument/2006/relationships/image" Target="../media/image7.png"/><Relationship Id="rId21" Type="http://schemas.openxmlformats.org/officeDocument/2006/relationships/image" Target="../media/image25.png"/><Relationship Id="rId7" Type="http://schemas.openxmlformats.org/officeDocument/2006/relationships/image" Target="../media/image11.png"/><Relationship Id="rId12" Type="http://schemas.openxmlformats.org/officeDocument/2006/relationships/image" Target="../media/image16.png"/><Relationship Id="rId17" Type="http://schemas.openxmlformats.org/officeDocument/2006/relationships/image" Target="../media/image21.png"/><Relationship Id="rId2" Type="http://schemas.openxmlformats.org/officeDocument/2006/relationships/image" Target="../media/image6.png"/><Relationship Id="rId16" Type="http://schemas.openxmlformats.org/officeDocument/2006/relationships/image" Target="../media/image20.png"/><Relationship Id="rId20" Type="http://schemas.openxmlformats.org/officeDocument/2006/relationships/image" Target="../media/image24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11" Type="http://schemas.openxmlformats.org/officeDocument/2006/relationships/image" Target="../media/image15.png"/><Relationship Id="rId24" Type="http://schemas.openxmlformats.org/officeDocument/2006/relationships/image" Target="../media/image28.png"/><Relationship Id="rId5" Type="http://schemas.openxmlformats.org/officeDocument/2006/relationships/image" Target="../media/image9.png"/><Relationship Id="rId15" Type="http://schemas.openxmlformats.org/officeDocument/2006/relationships/image" Target="../media/image19.png"/><Relationship Id="rId23" Type="http://schemas.openxmlformats.org/officeDocument/2006/relationships/image" Target="../media/image27.png"/><Relationship Id="rId10" Type="http://schemas.openxmlformats.org/officeDocument/2006/relationships/image" Target="../media/image14.png"/><Relationship Id="rId19" Type="http://schemas.openxmlformats.org/officeDocument/2006/relationships/image" Target="../media/image23.png"/><Relationship Id="rId4" Type="http://schemas.openxmlformats.org/officeDocument/2006/relationships/image" Target="../media/image8.png"/><Relationship Id="rId9" Type="http://schemas.openxmlformats.org/officeDocument/2006/relationships/image" Target="../media/image13.png"/><Relationship Id="rId14" Type="http://schemas.openxmlformats.org/officeDocument/2006/relationships/image" Target="../media/image18.png"/><Relationship Id="rId22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177800</xdr:colOff>
      <xdr:row>1</xdr:row>
      <xdr:rowOff>127000</xdr:rowOff>
    </xdr:from>
    <xdr:ext cx="2882900" cy="665285"/>
    <xdr:pic>
      <xdr:nvPicPr>
        <xdr:cNvPr id="2" name="image20.png">
          <a:extLst>
            <a:ext uri="{FF2B5EF4-FFF2-40B4-BE49-F238E27FC236}">
              <a16:creationId xmlns:a16="http://schemas.microsoft.com/office/drawing/2014/main" id="{8434F949-C6F4-B84F-A21C-57A468E56F3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627600" y="317500"/>
          <a:ext cx="2882900" cy="66528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101601</xdr:colOff>
      <xdr:row>2</xdr:row>
      <xdr:rowOff>76201</xdr:rowOff>
    </xdr:from>
    <xdr:ext cx="3048000" cy="1456166"/>
    <xdr:pic>
      <xdr:nvPicPr>
        <xdr:cNvPr id="3" name="image24.png">
          <a:extLst>
            <a:ext uri="{FF2B5EF4-FFF2-40B4-BE49-F238E27FC236}">
              <a16:creationId xmlns:a16="http://schemas.microsoft.com/office/drawing/2014/main" id="{CCC5A53F-18DB-DF4C-9D84-F6F1219168B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551401" y="1219201"/>
          <a:ext cx="3048000" cy="1456166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88900</xdr:colOff>
      <xdr:row>3</xdr:row>
      <xdr:rowOff>165100</xdr:rowOff>
    </xdr:from>
    <xdr:ext cx="3086100" cy="279345"/>
    <xdr:pic>
      <xdr:nvPicPr>
        <xdr:cNvPr id="4" name="image21.png">
          <a:extLst>
            <a:ext uri="{FF2B5EF4-FFF2-40B4-BE49-F238E27FC236}">
              <a16:creationId xmlns:a16="http://schemas.microsoft.com/office/drawing/2014/main" id="{BCB1FE89-434C-9645-B148-090C84E43A5A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7538700" y="2870200"/>
          <a:ext cx="3086100" cy="27934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25400</xdr:colOff>
      <xdr:row>4</xdr:row>
      <xdr:rowOff>444500</xdr:rowOff>
    </xdr:from>
    <xdr:ext cx="3175000" cy="1587500"/>
    <xdr:pic>
      <xdr:nvPicPr>
        <xdr:cNvPr id="5" name="image28.png">
          <a:extLst>
            <a:ext uri="{FF2B5EF4-FFF2-40B4-BE49-F238E27FC236}">
              <a16:creationId xmlns:a16="http://schemas.microsoft.com/office/drawing/2014/main" id="{42550FFB-E78E-1247-91CE-777F3DB77EB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7475200" y="3759200"/>
          <a:ext cx="3175000" cy="15875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438150</xdr:colOff>
      <xdr:row>1</xdr:row>
      <xdr:rowOff>9525</xdr:rowOff>
    </xdr:from>
    <xdr:ext cx="2219326" cy="517843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335375" y="200025"/>
          <a:ext cx="2219326" cy="517843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571500</xdr:colOff>
      <xdr:row>2</xdr:row>
      <xdr:rowOff>9525</xdr:rowOff>
    </xdr:from>
    <xdr:ext cx="1828800" cy="526094"/>
    <xdr:pic>
      <xdr:nvPicPr>
        <xdr:cNvPr id="3" name="image1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468725" y="742950"/>
          <a:ext cx="1828800" cy="526094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5</xdr:row>
      <xdr:rowOff>361950</xdr:rowOff>
    </xdr:from>
    <xdr:ext cx="3395799" cy="1390093"/>
    <xdr:pic>
      <xdr:nvPicPr>
        <xdr:cNvPr id="4" name="image2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954375" y="2905125"/>
          <a:ext cx="3395799" cy="1390093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257175</xdr:colOff>
      <xdr:row>6</xdr:row>
      <xdr:rowOff>76200</xdr:rowOff>
    </xdr:from>
    <xdr:ext cx="3152775" cy="4413885"/>
    <xdr:pic>
      <xdr:nvPicPr>
        <xdr:cNvPr id="5" name="image1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6154400" y="4981575"/>
          <a:ext cx="3152775" cy="441388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219074</xdr:colOff>
      <xdr:row>7</xdr:row>
      <xdr:rowOff>180975</xdr:rowOff>
    </xdr:from>
    <xdr:ext cx="3133725" cy="2742010"/>
    <xdr:pic>
      <xdr:nvPicPr>
        <xdr:cNvPr id="6" name="image10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116299" y="9610725"/>
          <a:ext cx="3133725" cy="274201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508000</xdr:colOff>
      <xdr:row>8</xdr:row>
      <xdr:rowOff>117475</xdr:rowOff>
    </xdr:from>
    <xdr:ext cx="2377440" cy="495300"/>
    <xdr:pic>
      <xdr:nvPicPr>
        <xdr:cNvPr id="7" name="image8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671800" y="13465175"/>
          <a:ext cx="237744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304800</xdr:colOff>
      <xdr:row>11</xdr:row>
      <xdr:rowOff>57150</xdr:rowOff>
    </xdr:from>
    <xdr:ext cx="2876550" cy="1322788"/>
    <xdr:pic>
      <xdr:nvPicPr>
        <xdr:cNvPr id="8" name="image23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202025" y="15640050"/>
          <a:ext cx="2876550" cy="1322788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28574</xdr:colOff>
      <xdr:row>16</xdr:row>
      <xdr:rowOff>190500</xdr:rowOff>
    </xdr:from>
    <xdr:ext cx="3502889" cy="2447925"/>
    <xdr:pic>
      <xdr:nvPicPr>
        <xdr:cNvPr id="9" name="image25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5925799" y="20450175"/>
          <a:ext cx="3502889" cy="244792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190500</xdr:colOff>
      <xdr:row>18</xdr:row>
      <xdr:rowOff>9525</xdr:rowOff>
    </xdr:from>
    <xdr:ext cx="3248025" cy="2000250"/>
    <xdr:pic>
      <xdr:nvPicPr>
        <xdr:cNvPr id="10" name="image26.png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087725" y="23955375"/>
          <a:ext cx="3248025" cy="20002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228600</xdr:colOff>
      <xdr:row>19</xdr:row>
      <xdr:rowOff>60326</xdr:rowOff>
    </xdr:from>
    <xdr:ext cx="3190875" cy="3405466"/>
    <xdr:pic>
      <xdr:nvPicPr>
        <xdr:cNvPr id="11" name="image15.png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5392400" y="27212926"/>
          <a:ext cx="3190875" cy="3405466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152400</xdr:colOff>
      <xdr:row>20</xdr:row>
      <xdr:rowOff>1514475</xdr:rowOff>
    </xdr:from>
    <xdr:ext cx="3257550" cy="723900"/>
    <xdr:pic>
      <xdr:nvPicPr>
        <xdr:cNvPr id="12" name="image16.png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6049625" y="30984825"/>
          <a:ext cx="325755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19050</xdr:colOff>
      <xdr:row>21</xdr:row>
      <xdr:rowOff>1876426</xdr:rowOff>
    </xdr:from>
    <xdr:ext cx="3571875" cy="797972"/>
    <xdr:pic>
      <xdr:nvPicPr>
        <xdr:cNvPr id="13" name="image3.png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5916275" y="34966276"/>
          <a:ext cx="3571875" cy="797972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295274</xdr:colOff>
      <xdr:row>22</xdr:row>
      <xdr:rowOff>39968</xdr:rowOff>
    </xdr:from>
    <xdr:ext cx="3133726" cy="2122207"/>
    <xdr:pic>
      <xdr:nvPicPr>
        <xdr:cNvPr id="14" name="image22.png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6192499" y="36749318"/>
          <a:ext cx="3133726" cy="2122207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66675</xdr:colOff>
      <xdr:row>25</xdr:row>
      <xdr:rowOff>190500</xdr:rowOff>
    </xdr:from>
    <xdr:ext cx="3514725" cy="329505"/>
    <xdr:pic>
      <xdr:nvPicPr>
        <xdr:cNvPr id="15" name="image9.png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5963900" y="39500175"/>
          <a:ext cx="3514725" cy="32950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66674</xdr:colOff>
      <xdr:row>26</xdr:row>
      <xdr:rowOff>228600</xdr:rowOff>
    </xdr:from>
    <xdr:ext cx="3483429" cy="285750"/>
    <xdr:pic>
      <xdr:nvPicPr>
        <xdr:cNvPr id="16" name="image4.png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5963899" y="40262175"/>
          <a:ext cx="3483429" cy="2857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47625</xdr:colOff>
      <xdr:row>28</xdr:row>
      <xdr:rowOff>152400</xdr:rowOff>
    </xdr:from>
    <xdr:ext cx="3439886" cy="457200"/>
    <xdr:pic>
      <xdr:nvPicPr>
        <xdr:cNvPr id="17" name="image6.png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5944850" y="41633775"/>
          <a:ext cx="3439886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19050</xdr:colOff>
      <xdr:row>29</xdr:row>
      <xdr:rowOff>266700</xdr:rowOff>
    </xdr:from>
    <xdr:ext cx="3467100" cy="266700"/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5916275" y="42481500"/>
          <a:ext cx="3467100" cy="2667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19050</xdr:colOff>
      <xdr:row>32</xdr:row>
      <xdr:rowOff>180975</xdr:rowOff>
    </xdr:from>
    <xdr:ext cx="3575957" cy="342900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5916275" y="47110650"/>
          <a:ext cx="3575957" cy="342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28575</xdr:colOff>
      <xdr:row>34</xdr:row>
      <xdr:rowOff>304800</xdr:rowOff>
    </xdr:from>
    <xdr:ext cx="3551464" cy="1381125"/>
    <xdr:pic>
      <xdr:nvPicPr>
        <xdr:cNvPr id="20" name="image14.png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5925800" y="49949100"/>
          <a:ext cx="3551464" cy="138112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38099</xdr:colOff>
      <xdr:row>35</xdr:row>
      <xdr:rowOff>257175</xdr:rowOff>
    </xdr:from>
    <xdr:ext cx="3502479" cy="1362075"/>
    <xdr:pic>
      <xdr:nvPicPr>
        <xdr:cNvPr id="21" name="image18.png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5935324" y="51892200"/>
          <a:ext cx="3502479" cy="13620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66675</xdr:colOff>
      <xdr:row>36</xdr:row>
      <xdr:rowOff>276225</xdr:rowOff>
    </xdr:from>
    <xdr:ext cx="3477986" cy="1352550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5963900" y="53901975"/>
          <a:ext cx="3477986" cy="13525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50800</xdr:colOff>
      <xdr:row>37</xdr:row>
      <xdr:rowOff>165100</xdr:rowOff>
    </xdr:from>
    <xdr:ext cx="3441700" cy="1338438"/>
    <xdr:pic>
      <xdr:nvPicPr>
        <xdr:cNvPr id="23" name="image19.png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15214600" y="58547000"/>
          <a:ext cx="3441700" cy="1338438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50800</xdr:colOff>
      <xdr:row>38</xdr:row>
      <xdr:rowOff>63500</xdr:rowOff>
    </xdr:from>
    <xdr:ext cx="3535438" cy="469900"/>
    <xdr:pic>
      <xdr:nvPicPr>
        <xdr:cNvPr id="24" name="image13.png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15214600" y="60540900"/>
          <a:ext cx="3535438" cy="469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38099</xdr:colOff>
      <xdr:row>39</xdr:row>
      <xdr:rowOff>38100</xdr:rowOff>
    </xdr:from>
    <xdr:ext cx="3579813" cy="520700"/>
    <xdr:pic>
      <xdr:nvPicPr>
        <xdr:cNvPr id="25" name="image7.png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15201899" y="61087000"/>
          <a:ext cx="3579813" cy="5207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zen.ru/?yredirect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70"/>
  <sheetViews>
    <sheetView workbookViewId="0">
      <selection activeCell="I2" sqref="I2"/>
    </sheetView>
  </sheetViews>
  <sheetFormatPr baseColWidth="10" defaultColWidth="12.796875" defaultRowHeight="14" x14ac:dyDescent="0.2"/>
  <cols>
    <col min="1" max="1" width="3" customWidth="1"/>
    <col min="2" max="2" width="68.796875" style="41" customWidth="1"/>
    <col min="3" max="3" width="23.796875" customWidth="1"/>
    <col min="4" max="4" width="25.796875" customWidth="1"/>
    <col min="5" max="5" width="20.796875" customWidth="1"/>
    <col min="6" max="6" width="24.796875" customWidth="1"/>
    <col min="7" max="7" width="15.796875" customWidth="1"/>
    <col min="8" max="8" width="39" customWidth="1"/>
  </cols>
  <sheetData>
    <row r="1" spans="1:29" ht="15" x14ac:dyDescent="0.2">
      <c r="A1" s="137" t="s">
        <v>0</v>
      </c>
      <c r="B1" s="138"/>
      <c r="C1" s="138"/>
      <c r="D1" s="138"/>
      <c r="E1" s="138"/>
      <c r="F1" s="138"/>
      <c r="G1" s="138"/>
      <c r="H1" s="13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20" x14ac:dyDescent="0.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" x14ac:dyDescent="0.2">
      <c r="A3" s="140" t="s">
        <v>9</v>
      </c>
      <c r="B3" s="141"/>
      <c r="C3" s="141"/>
      <c r="D3" s="141"/>
      <c r="E3" s="141"/>
      <c r="F3" s="141"/>
      <c r="G3" s="141"/>
      <c r="H3" s="14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45" x14ac:dyDescent="0.2">
      <c r="A4" s="5">
        <v>1</v>
      </c>
      <c r="B4" s="6" t="s">
        <v>10</v>
      </c>
      <c r="C4" s="7" t="s">
        <v>11</v>
      </c>
      <c r="D4" s="7" t="s">
        <v>11</v>
      </c>
      <c r="E4" s="7" t="s">
        <v>11</v>
      </c>
      <c r="F4" s="7" t="s">
        <v>11</v>
      </c>
      <c r="G4" s="8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60" x14ac:dyDescent="0.2">
      <c r="A5" s="5">
        <v>2</v>
      </c>
      <c r="B5" s="9" t="s">
        <v>12</v>
      </c>
      <c r="C5" s="7" t="s">
        <v>11</v>
      </c>
      <c r="D5" s="7" t="s">
        <v>11</v>
      </c>
      <c r="E5" s="7" t="s">
        <v>11</v>
      </c>
      <c r="F5" s="7" t="s">
        <v>11</v>
      </c>
      <c r="G5" s="8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45" x14ac:dyDescent="0.2">
      <c r="A6" s="5">
        <v>3</v>
      </c>
      <c r="B6" s="6" t="s">
        <v>13</v>
      </c>
      <c r="C6" s="7" t="s">
        <v>11</v>
      </c>
      <c r="D6" s="7" t="s">
        <v>11</v>
      </c>
      <c r="E6" s="7" t="s">
        <v>11</v>
      </c>
      <c r="F6" s="7" t="s">
        <v>11</v>
      </c>
      <c r="G6" s="8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30" x14ac:dyDescent="0.2">
      <c r="A7" s="5">
        <v>4</v>
      </c>
      <c r="B7" s="6" t="s">
        <v>14</v>
      </c>
      <c r="C7" s="7" t="s">
        <v>11</v>
      </c>
      <c r="D7" s="7" t="s">
        <v>11</v>
      </c>
      <c r="E7" s="7" t="s">
        <v>11</v>
      </c>
      <c r="F7" s="7" t="s">
        <v>11</v>
      </c>
      <c r="G7" s="8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05" x14ac:dyDescent="0.2">
      <c r="A8" s="5">
        <v>5</v>
      </c>
      <c r="B8" s="6" t="s">
        <v>15</v>
      </c>
      <c r="C8" s="7" t="s">
        <v>11</v>
      </c>
      <c r="D8" s="7" t="s">
        <v>11</v>
      </c>
      <c r="E8" s="7" t="s">
        <v>11</v>
      </c>
      <c r="F8" s="7" t="s">
        <v>11</v>
      </c>
      <c r="G8" s="8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32" x14ac:dyDescent="0.2">
      <c r="A9" s="5">
        <v>6</v>
      </c>
      <c r="B9" s="6" t="s">
        <v>16</v>
      </c>
      <c r="C9" s="7" t="s">
        <v>11</v>
      </c>
      <c r="D9" s="7" t="s">
        <v>11</v>
      </c>
      <c r="E9" s="7" t="s">
        <v>11</v>
      </c>
      <c r="F9" s="7" t="s">
        <v>11</v>
      </c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45" x14ac:dyDescent="0.2">
      <c r="A10" s="5">
        <v>7</v>
      </c>
      <c r="B10" s="6" t="s">
        <v>17</v>
      </c>
      <c r="C10" s="7" t="s">
        <v>11</v>
      </c>
      <c r="D10" s="7" t="s">
        <v>11</v>
      </c>
      <c r="E10" s="7" t="s">
        <v>11</v>
      </c>
      <c r="F10" s="7" t="s">
        <v>11</v>
      </c>
      <c r="G10" s="8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32" x14ac:dyDescent="0.2">
      <c r="A11" s="5">
        <v>8</v>
      </c>
      <c r="B11" s="6" t="s">
        <v>18</v>
      </c>
      <c r="C11" s="7" t="s">
        <v>11</v>
      </c>
      <c r="D11" s="7" t="s">
        <v>11</v>
      </c>
      <c r="E11" s="7" t="s">
        <v>11</v>
      </c>
      <c r="F11" s="7" t="s">
        <v>11</v>
      </c>
      <c r="G11" s="8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32" x14ac:dyDescent="0.2">
      <c r="A12" s="5">
        <v>9</v>
      </c>
      <c r="B12" s="6" t="s">
        <v>19</v>
      </c>
      <c r="C12" s="7" t="s">
        <v>20</v>
      </c>
      <c r="D12" s="7" t="s">
        <v>20</v>
      </c>
      <c r="E12" s="7" t="s">
        <v>20</v>
      </c>
      <c r="F12" s="7" t="s">
        <v>20</v>
      </c>
      <c r="G12" s="8" t="s">
        <v>21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65" x14ac:dyDescent="0.2">
      <c r="A13" s="5">
        <v>10</v>
      </c>
      <c r="B13" s="10" t="s">
        <v>22</v>
      </c>
      <c r="C13" s="7" t="s">
        <v>20</v>
      </c>
      <c r="D13" s="7" t="s">
        <v>20</v>
      </c>
      <c r="E13" s="7" t="s">
        <v>20</v>
      </c>
      <c r="F13" s="7" t="s">
        <v>20</v>
      </c>
      <c r="G13" s="8" t="s">
        <v>23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32" x14ac:dyDescent="0.2">
      <c r="A14" s="5">
        <v>11</v>
      </c>
      <c r="B14" s="6" t="s">
        <v>24</v>
      </c>
      <c r="C14" s="7" t="s">
        <v>20</v>
      </c>
      <c r="D14" s="7" t="s">
        <v>20</v>
      </c>
      <c r="E14" s="7" t="s">
        <v>20</v>
      </c>
      <c r="F14" s="7" t="s">
        <v>20</v>
      </c>
      <c r="G14" s="8" t="s">
        <v>25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30" x14ac:dyDescent="0.2">
      <c r="A15" s="5">
        <v>12</v>
      </c>
      <c r="B15" s="11" t="s">
        <v>26</v>
      </c>
      <c r="C15" s="12" t="s">
        <v>20</v>
      </c>
      <c r="D15" s="13" t="s">
        <v>20</v>
      </c>
      <c r="E15" s="7" t="s">
        <v>20</v>
      </c>
      <c r="F15" s="14" t="s">
        <v>20</v>
      </c>
      <c r="G15" s="8" t="s">
        <v>27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</row>
    <row r="16" spans="1:29" ht="30" x14ac:dyDescent="0.2">
      <c r="A16" s="5">
        <v>13</v>
      </c>
      <c r="B16" s="11" t="s">
        <v>28</v>
      </c>
      <c r="C16" s="12" t="s">
        <v>20</v>
      </c>
      <c r="D16" s="13" t="s">
        <v>20</v>
      </c>
      <c r="E16" s="7" t="s">
        <v>20</v>
      </c>
      <c r="F16" s="14" t="s">
        <v>20</v>
      </c>
      <c r="G16" s="8" t="s">
        <v>29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</row>
    <row r="17" spans="1:29" ht="15" x14ac:dyDescent="0.2">
      <c r="A17" s="142" t="s">
        <v>30</v>
      </c>
      <c r="B17" s="138"/>
      <c r="C17" s="138"/>
      <c r="D17" s="138"/>
      <c r="E17" s="138"/>
      <c r="F17" s="138"/>
      <c r="G17" s="13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75" x14ac:dyDescent="0.2">
      <c r="A18" s="5">
        <v>14</v>
      </c>
      <c r="B18" s="6" t="s">
        <v>31</v>
      </c>
      <c r="C18" s="7" t="s">
        <v>11</v>
      </c>
      <c r="D18" s="7" t="s">
        <v>11</v>
      </c>
      <c r="E18" s="7" t="s">
        <v>11</v>
      </c>
      <c r="F18" s="7" t="s">
        <v>11</v>
      </c>
      <c r="G18" s="8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32" x14ac:dyDescent="0.2">
      <c r="A19" s="5">
        <v>15</v>
      </c>
      <c r="B19" s="6" t="s">
        <v>32</v>
      </c>
      <c r="C19" s="7" t="s">
        <v>11</v>
      </c>
      <c r="D19" s="7" t="s">
        <v>11</v>
      </c>
      <c r="E19" s="7" t="s">
        <v>11</v>
      </c>
      <c r="F19" s="7" t="s">
        <v>11</v>
      </c>
      <c r="G19" s="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32" x14ac:dyDescent="0.2">
      <c r="A20" s="5">
        <v>16</v>
      </c>
      <c r="B20" s="16" t="s">
        <v>33</v>
      </c>
      <c r="C20" s="7" t="s">
        <v>11</v>
      </c>
      <c r="D20" s="7" t="s">
        <v>11</v>
      </c>
      <c r="E20" s="7" t="s">
        <v>11</v>
      </c>
      <c r="F20" s="7" t="s">
        <v>11</v>
      </c>
      <c r="G20" s="8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32" x14ac:dyDescent="0.2">
      <c r="A21" s="5">
        <v>17</v>
      </c>
      <c r="B21" s="16" t="s">
        <v>34</v>
      </c>
      <c r="C21" s="7" t="s">
        <v>11</v>
      </c>
      <c r="D21" s="7" t="s">
        <v>11</v>
      </c>
      <c r="E21" s="7" t="s">
        <v>11</v>
      </c>
      <c r="F21" s="7" t="s">
        <v>11</v>
      </c>
      <c r="G21" s="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32" x14ac:dyDescent="0.2">
      <c r="A22" s="5">
        <v>18</v>
      </c>
      <c r="B22" s="16" t="s">
        <v>35</v>
      </c>
      <c r="C22" s="7" t="s">
        <v>20</v>
      </c>
      <c r="D22" s="7" t="s">
        <v>20</v>
      </c>
      <c r="E22" s="7" t="s">
        <v>20</v>
      </c>
      <c r="F22" s="7" t="s">
        <v>20</v>
      </c>
      <c r="G22" s="17" t="s">
        <v>36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6" x14ac:dyDescent="0.2">
      <c r="A23" s="5">
        <v>19</v>
      </c>
      <c r="B23" s="16" t="s">
        <v>26</v>
      </c>
      <c r="C23" s="7" t="s">
        <v>20</v>
      </c>
      <c r="D23" s="7" t="s">
        <v>20</v>
      </c>
      <c r="E23" s="7" t="s">
        <v>20</v>
      </c>
      <c r="F23" s="7" t="s">
        <v>20</v>
      </c>
      <c r="G23" s="17" t="s">
        <v>37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32" x14ac:dyDescent="0.2">
      <c r="A24" s="5">
        <v>20</v>
      </c>
      <c r="B24" s="16" t="s">
        <v>28</v>
      </c>
      <c r="C24" s="7" t="s">
        <v>20</v>
      </c>
      <c r="D24" s="7" t="s">
        <v>20</v>
      </c>
      <c r="E24" s="7" t="s">
        <v>20</v>
      </c>
      <c r="F24" s="7" t="s">
        <v>20</v>
      </c>
      <c r="G24" s="17" t="s">
        <v>38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05" x14ac:dyDescent="0.2">
      <c r="A25" s="5">
        <v>21</v>
      </c>
      <c r="B25" s="6" t="s">
        <v>39</v>
      </c>
      <c r="C25" s="7" t="s">
        <v>11</v>
      </c>
      <c r="D25" s="7" t="s">
        <v>11</v>
      </c>
      <c r="E25" s="7" t="s">
        <v>11</v>
      </c>
      <c r="F25" s="7" t="s">
        <v>11</v>
      </c>
      <c r="G25" s="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32" x14ac:dyDescent="0.2">
      <c r="A26" s="5">
        <v>22</v>
      </c>
      <c r="B26" s="6" t="s">
        <v>40</v>
      </c>
      <c r="C26" s="7" t="s">
        <v>11</v>
      </c>
      <c r="D26" s="7" t="s">
        <v>11</v>
      </c>
      <c r="E26" s="7" t="s">
        <v>11</v>
      </c>
      <c r="F26" s="7" t="s">
        <v>11</v>
      </c>
      <c r="G26" s="8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" x14ac:dyDescent="0.2">
      <c r="A27" s="142" t="s">
        <v>41</v>
      </c>
      <c r="B27" s="138"/>
      <c r="C27" s="138"/>
      <c r="D27" s="138"/>
      <c r="E27" s="138"/>
      <c r="F27" s="138"/>
      <c r="G27" s="13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270" x14ac:dyDescent="0.2">
      <c r="A28" s="18">
        <v>23</v>
      </c>
      <c r="B28" s="19" t="s">
        <v>42</v>
      </c>
      <c r="C28" s="7" t="s">
        <v>20</v>
      </c>
      <c r="D28" s="7" t="s">
        <v>20</v>
      </c>
      <c r="E28" s="7" t="s">
        <v>20</v>
      </c>
      <c r="F28" s="7" t="s">
        <v>20</v>
      </c>
      <c r="G28" s="8" t="s">
        <v>43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" x14ac:dyDescent="0.2">
      <c r="A29" s="142" t="s">
        <v>44</v>
      </c>
      <c r="B29" s="138"/>
      <c r="C29" s="138"/>
      <c r="D29" s="138"/>
      <c r="E29" s="138"/>
      <c r="F29" s="138"/>
      <c r="G29" s="13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225" x14ac:dyDescent="0.2">
      <c r="A30" s="5">
        <v>24</v>
      </c>
      <c r="B30" s="6" t="s">
        <v>45</v>
      </c>
      <c r="C30" s="7" t="s">
        <v>11</v>
      </c>
      <c r="D30" s="7" t="s">
        <v>11</v>
      </c>
      <c r="E30" s="7" t="s">
        <v>11</v>
      </c>
      <c r="F30" s="7" t="s">
        <v>11</v>
      </c>
      <c r="G30" s="8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60" x14ac:dyDescent="0.2">
      <c r="A31" s="5">
        <v>25</v>
      </c>
      <c r="B31" s="6" t="s">
        <v>46</v>
      </c>
      <c r="C31" s="7" t="s">
        <v>11</v>
      </c>
      <c r="D31" s="7" t="s">
        <v>11</v>
      </c>
      <c r="E31" s="7" t="s">
        <v>11</v>
      </c>
      <c r="F31" s="7" t="s">
        <v>11</v>
      </c>
      <c r="G31" s="8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32" x14ac:dyDescent="0.2">
      <c r="A32" s="5">
        <v>26</v>
      </c>
      <c r="B32" s="6" t="s">
        <v>47</v>
      </c>
      <c r="C32" s="7" t="s">
        <v>20</v>
      </c>
      <c r="D32" s="7" t="s">
        <v>20</v>
      </c>
      <c r="E32" s="7" t="s">
        <v>20</v>
      </c>
      <c r="F32" s="7" t="s">
        <v>20</v>
      </c>
      <c r="G32" s="8" t="s">
        <v>48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32" x14ac:dyDescent="0.2">
      <c r="A33" s="20">
        <v>27</v>
      </c>
      <c r="B33" s="21" t="s">
        <v>49</v>
      </c>
      <c r="C33" s="22" t="s">
        <v>20</v>
      </c>
      <c r="D33" s="22" t="s">
        <v>20</v>
      </c>
      <c r="E33" s="22" t="s">
        <v>20</v>
      </c>
      <c r="F33" s="22" t="s">
        <v>20</v>
      </c>
      <c r="G33" s="23" t="s">
        <v>50</v>
      </c>
      <c r="H33" s="2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32" x14ac:dyDescent="0.2">
      <c r="A34" s="5">
        <v>28</v>
      </c>
      <c r="B34" s="6" t="s">
        <v>51</v>
      </c>
      <c r="C34" s="7" t="s">
        <v>11</v>
      </c>
      <c r="D34" s="7" t="s">
        <v>11</v>
      </c>
      <c r="E34" s="7" t="s">
        <v>11</v>
      </c>
      <c r="F34" s="7" t="s">
        <v>11</v>
      </c>
      <c r="G34" s="8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32" x14ac:dyDescent="0.2">
      <c r="A35" s="5">
        <v>29</v>
      </c>
      <c r="B35" s="6" t="s">
        <v>52</v>
      </c>
      <c r="C35" s="7" t="s">
        <v>11</v>
      </c>
      <c r="D35" s="7" t="s">
        <v>11</v>
      </c>
      <c r="E35" s="7" t="s">
        <v>11</v>
      </c>
      <c r="F35" s="7" t="s">
        <v>11</v>
      </c>
      <c r="G35" s="8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" x14ac:dyDescent="0.2">
      <c r="A36" s="142" t="s">
        <v>53</v>
      </c>
      <c r="B36" s="138"/>
      <c r="C36" s="138"/>
      <c r="D36" s="138"/>
      <c r="E36" s="138"/>
      <c r="F36" s="138"/>
      <c r="G36" s="13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32" x14ac:dyDescent="0.2">
      <c r="A37" s="5">
        <v>30</v>
      </c>
      <c r="B37" s="6" t="s">
        <v>54</v>
      </c>
      <c r="C37" s="7" t="s">
        <v>11</v>
      </c>
      <c r="D37" s="7" t="s">
        <v>11</v>
      </c>
      <c r="E37" s="7" t="s">
        <v>20</v>
      </c>
      <c r="F37" s="7" t="s">
        <v>20</v>
      </c>
      <c r="G37" s="8" t="s">
        <v>55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225" x14ac:dyDescent="0.2">
      <c r="A38" s="5">
        <v>31</v>
      </c>
      <c r="B38" s="6" t="s">
        <v>56</v>
      </c>
      <c r="C38" s="7" t="s">
        <v>11</v>
      </c>
      <c r="D38" s="7" t="s">
        <v>11</v>
      </c>
      <c r="E38" s="7" t="s">
        <v>11</v>
      </c>
      <c r="F38" s="7" t="s">
        <v>11</v>
      </c>
      <c r="G38" s="8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6" x14ac:dyDescent="0.2">
      <c r="A39" s="5">
        <v>32</v>
      </c>
      <c r="B39" s="6" t="s">
        <v>57</v>
      </c>
      <c r="C39" s="7" t="s">
        <v>11</v>
      </c>
      <c r="D39" s="7" t="s">
        <v>11</v>
      </c>
      <c r="E39" s="7" t="s">
        <v>11</v>
      </c>
      <c r="F39" s="7" t="s">
        <v>11</v>
      </c>
      <c r="G39" s="8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30" x14ac:dyDescent="0.2">
      <c r="A40" s="5">
        <v>33</v>
      </c>
      <c r="B40" s="25" t="s">
        <v>58</v>
      </c>
      <c r="C40" s="12" t="s">
        <v>11</v>
      </c>
      <c r="D40" s="12" t="s">
        <v>11</v>
      </c>
      <c r="E40" s="12" t="s">
        <v>11</v>
      </c>
      <c r="F40" s="12" t="s">
        <v>11</v>
      </c>
      <c r="G40" s="26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 spans="1:29" ht="45" x14ac:dyDescent="0.2">
      <c r="A41" s="20">
        <v>34</v>
      </c>
      <c r="B41" s="21" t="s">
        <v>59</v>
      </c>
      <c r="C41" s="22" t="s">
        <v>11</v>
      </c>
      <c r="D41" s="22" t="s">
        <v>11</v>
      </c>
      <c r="E41" s="22" t="s">
        <v>11</v>
      </c>
      <c r="F41" s="22" t="s">
        <v>11</v>
      </c>
      <c r="G41" s="23"/>
      <c r="H41" s="14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60" x14ac:dyDescent="0.2">
      <c r="A42" s="20">
        <v>35</v>
      </c>
      <c r="B42" s="21" t="s">
        <v>60</v>
      </c>
      <c r="C42" s="22" t="s">
        <v>11</v>
      </c>
      <c r="D42" s="22" t="s">
        <v>11</v>
      </c>
      <c r="E42" s="22" t="s">
        <v>11</v>
      </c>
      <c r="F42" s="22" t="s">
        <v>11</v>
      </c>
      <c r="G42" s="23"/>
      <c r="H42" s="136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90" x14ac:dyDescent="0.2">
      <c r="A43" s="20">
        <v>36</v>
      </c>
      <c r="B43" s="21" t="s">
        <v>61</v>
      </c>
      <c r="C43" s="22" t="s">
        <v>11</v>
      </c>
      <c r="D43" s="22" t="s">
        <v>11</v>
      </c>
      <c r="E43" s="22" t="s">
        <v>11</v>
      </c>
      <c r="F43" s="22" t="s">
        <v>11</v>
      </c>
      <c r="G43" s="23"/>
      <c r="H43" s="136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32" x14ac:dyDescent="0.2">
      <c r="A44" s="5">
        <v>37</v>
      </c>
      <c r="B44" s="6" t="s">
        <v>62</v>
      </c>
      <c r="C44" s="7" t="s">
        <v>11</v>
      </c>
      <c r="D44" s="7" t="s">
        <v>11</v>
      </c>
      <c r="E44" s="7" t="s">
        <v>11</v>
      </c>
      <c r="F44" s="7" t="s">
        <v>11</v>
      </c>
      <c r="G44" s="8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32" x14ac:dyDescent="0.2">
      <c r="A45" s="5">
        <v>38</v>
      </c>
      <c r="B45" s="6" t="s">
        <v>63</v>
      </c>
      <c r="C45" s="7" t="s">
        <v>11</v>
      </c>
      <c r="D45" s="7" t="s">
        <v>11</v>
      </c>
      <c r="E45" s="7" t="s">
        <v>11</v>
      </c>
      <c r="F45" s="7" t="s">
        <v>11</v>
      </c>
      <c r="G45" s="8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32" x14ac:dyDescent="0.2">
      <c r="A46" s="5">
        <v>39</v>
      </c>
      <c r="B46" s="6" t="s">
        <v>64</v>
      </c>
      <c r="C46" s="7" t="s">
        <v>20</v>
      </c>
      <c r="D46" s="7" t="s">
        <v>20</v>
      </c>
      <c r="E46" s="7" t="s">
        <v>20</v>
      </c>
      <c r="F46" s="7" t="s">
        <v>20</v>
      </c>
      <c r="G46" s="8" t="s">
        <v>65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6" x14ac:dyDescent="0.2">
      <c r="A47" s="20">
        <v>40</v>
      </c>
      <c r="B47" s="21" t="s">
        <v>66</v>
      </c>
      <c r="C47" s="22" t="s">
        <v>11</v>
      </c>
      <c r="D47" s="22" t="s">
        <v>11</v>
      </c>
      <c r="E47" s="22" t="s">
        <v>11</v>
      </c>
      <c r="F47" s="22" t="s">
        <v>11</v>
      </c>
      <c r="G47" s="2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45" x14ac:dyDescent="0.2">
      <c r="A48" s="20">
        <v>41</v>
      </c>
      <c r="B48" s="21" t="s">
        <v>67</v>
      </c>
      <c r="C48" s="22" t="s">
        <v>11</v>
      </c>
      <c r="D48" s="22" t="s">
        <v>11</v>
      </c>
      <c r="E48" s="22" t="s">
        <v>11</v>
      </c>
      <c r="F48" s="22" t="s">
        <v>11</v>
      </c>
      <c r="G48" s="23"/>
      <c r="H48" s="143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75" x14ac:dyDescent="0.2">
      <c r="A49" s="20">
        <v>42</v>
      </c>
      <c r="B49" s="21" t="s">
        <v>68</v>
      </c>
      <c r="C49" s="22" t="s">
        <v>11</v>
      </c>
      <c r="D49" s="22" t="s">
        <v>11</v>
      </c>
      <c r="E49" s="22" t="s">
        <v>11</v>
      </c>
      <c r="F49" s="22" t="s">
        <v>11</v>
      </c>
      <c r="G49" s="23"/>
      <c r="H49" s="136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90" x14ac:dyDescent="0.2">
      <c r="A50" s="20">
        <v>43</v>
      </c>
      <c r="B50" s="21" t="s">
        <v>69</v>
      </c>
      <c r="C50" s="22" t="s">
        <v>11</v>
      </c>
      <c r="D50" s="22" t="s">
        <v>11</v>
      </c>
      <c r="E50" s="22" t="s">
        <v>11</v>
      </c>
      <c r="F50" s="22" t="s">
        <v>11</v>
      </c>
      <c r="G50" s="23"/>
      <c r="H50" s="136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48" x14ac:dyDescent="0.2">
      <c r="A51" s="20">
        <v>44</v>
      </c>
      <c r="B51" s="21" t="s">
        <v>70</v>
      </c>
      <c r="C51" s="22" t="s">
        <v>11</v>
      </c>
      <c r="D51" s="22" t="s">
        <v>11</v>
      </c>
      <c r="E51" s="22" t="s">
        <v>11</v>
      </c>
      <c r="F51" s="22" t="s">
        <v>11</v>
      </c>
      <c r="G51" s="23"/>
      <c r="H51" s="2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45" x14ac:dyDescent="0.2">
      <c r="A52" s="20">
        <v>45</v>
      </c>
      <c r="B52" s="21" t="s">
        <v>71</v>
      </c>
      <c r="C52" s="22" t="s">
        <v>11</v>
      </c>
      <c r="D52" s="22" t="s">
        <v>11</v>
      </c>
      <c r="E52" s="22" t="s">
        <v>11</v>
      </c>
      <c r="F52" s="22" t="s">
        <v>11</v>
      </c>
      <c r="G52" s="23"/>
      <c r="H52" s="143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60" x14ac:dyDescent="0.2">
      <c r="A53" s="20">
        <v>46</v>
      </c>
      <c r="B53" s="21" t="s">
        <v>72</v>
      </c>
      <c r="C53" s="22" t="s">
        <v>11</v>
      </c>
      <c r="D53" s="22" t="s">
        <v>11</v>
      </c>
      <c r="E53" s="22" t="s">
        <v>11</v>
      </c>
      <c r="F53" s="22" t="s">
        <v>11</v>
      </c>
      <c r="G53" s="23"/>
      <c r="H53" s="13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90" x14ac:dyDescent="0.2">
      <c r="A54" s="20">
        <v>47</v>
      </c>
      <c r="B54" s="21" t="s">
        <v>73</v>
      </c>
      <c r="C54" s="22" t="s">
        <v>11</v>
      </c>
      <c r="D54" s="22" t="s">
        <v>11</v>
      </c>
      <c r="E54" s="22" t="s">
        <v>11</v>
      </c>
      <c r="F54" s="22" t="s">
        <v>11</v>
      </c>
      <c r="G54" s="23"/>
      <c r="H54" s="13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32" x14ac:dyDescent="0.2">
      <c r="A55" s="5">
        <v>48</v>
      </c>
      <c r="B55" s="6" t="s">
        <v>74</v>
      </c>
      <c r="C55" s="7" t="s">
        <v>20</v>
      </c>
      <c r="D55" s="7" t="s">
        <v>20</v>
      </c>
      <c r="E55" s="7" t="s">
        <v>20</v>
      </c>
      <c r="F55" s="7" t="s">
        <v>20</v>
      </c>
      <c r="G55" s="8" t="s">
        <v>75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6" x14ac:dyDescent="0.2">
      <c r="A56" s="5">
        <v>49</v>
      </c>
      <c r="B56" s="6" t="s">
        <v>76</v>
      </c>
      <c r="C56" s="7" t="s">
        <v>11</v>
      </c>
      <c r="D56" s="7" t="s">
        <v>11</v>
      </c>
      <c r="E56" s="7" t="s">
        <v>11</v>
      </c>
      <c r="F56" s="7" t="s">
        <v>11</v>
      </c>
      <c r="G56" s="8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45" x14ac:dyDescent="0.2">
      <c r="A57" s="20">
        <v>50</v>
      </c>
      <c r="B57" s="21" t="s">
        <v>77</v>
      </c>
      <c r="C57" s="22" t="s">
        <v>11</v>
      </c>
      <c r="D57" s="22" t="s">
        <v>11</v>
      </c>
      <c r="E57" s="22" t="s">
        <v>11</v>
      </c>
      <c r="F57" s="22" t="s">
        <v>11</v>
      </c>
      <c r="G57" s="23"/>
      <c r="H57" s="143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60" x14ac:dyDescent="0.2">
      <c r="A58" s="20">
        <v>51</v>
      </c>
      <c r="B58" s="21" t="s">
        <v>78</v>
      </c>
      <c r="C58" s="22" t="s">
        <v>11</v>
      </c>
      <c r="D58" s="22" t="s">
        <v>11</v>
      </c>
      <c r="E58" s="22" t="s">
        <v>11</v>
      </c>
      <c r="F58" s="22" t="s">
        <v>11</v>
      </c>
      <c r="G58" s="23"/>
      <c r="H58" s="136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60" x14ac:dyDescent="0.2">
      <c r="A59" s="20">
        <v>52</v>
      </c>
      <c r="B59" s="21" t="s">
        <v>79</v>
      </c>
      <c r="C59" s="22" t="s">
        <v>11</v>
      </c>
      <c r="D59" s="22" t="s">
        <v>11</v>
      </c>
      <c r="E59" s="22" t="s">
        <v>11</v>
      </c>
      <c r="F59" s="22" t="s">
        <v>11</v>
      </c>
      <c r="G59" s="23"/>
      <c r="H59" s="136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32" x14ac:dyDescent="0.2">
      <c r="A60" s="20">
        <v>53</v>
      </c>
      <c r="B60" s="21" t="s">
        <v>80</v>
      </c>
      <c r="C60" s="22" t="s">
        <v>11</v>
      </c>
      <c r="D60" s="22" t="s">
        <v>11</v>
      </c>
      <c r="E60" s="22" t="s">
        <v>11</v>
      </c>
      <c r="F60" s="22" t="s">
        <v>11</v>
      </c>
      <c r="G60" s="23"/>
      <c r="H60" s="144"/>
      <c r="I60" s="135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32" x14ac:dyDescent="0.2">
      <c r="A61" s="20">
        <v>54</v>
      </c>
      <c r="B61" s="21" t="s">
        <v>81</v>
      </c>
      <c r="C61" s="22" t="s">
        <v>11</v>
      </c>
      <c r="D61" s="22" t="s">
        <v>11</v>
      </c>
      <c r="E61" s="22" t="s">
        <v>11</v>
      </c>
      <c r="F61" s="22" t="s">
        <v>11</v>
      </c>
      <c r="G61" s="23"/>
      <c r="H61" s="136"/>
      <c r="I61" s="13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48" x14ac:dyDescent="0.2">
      <c r="A62" s="20">
        <v>55</v>
      </c>
      <c r="B62" s="21" t="s">
        <v>82</v>
      </c>
      <c r="C62" s="22" t="s">
        <v>11</v>
      </c>
      <c r="D62" s="22" t="s">
        <v>11</v>
      </c>
      <c r="E62" s="22" t="s">
        <v>11</v>
      </c>
      <c r="F62" s="22" t="s">
        <v>11</v>
      </c>
      <c r="G62" s="23"/>
      <c r="H62" s="136"/>
      <c r="I62" s="13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45" x14ac:dyDescent="0.2">
      <c r="A63" s="20">
        <v>56</v>
      </c>
      <c r="B63" s="21" t="s">
        <v>83</v>
      </c>
      <c r="C63" s="22" t="s">
        <v>11</v>
      </c>
      <c r="D63" s="22" t="s">
        <v>11</v>
      </c>
      <c r="E63" s="22" t="s">
        <v>11</v>
      </c>
      <c r="F63" s="22" t="s">
        <v>11</v>
      </c>
      <c r="G63" s="23"/>
      <c r="H63" s="136"/>
      <c r="I63" s="13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32" x14ac:dyDescent="0.2">
      <c r="A64" s="20">
        <v>57</v>
      </c>
      <c r="B64" s="21" t="s">
        <v>84</v>
      </c>
      <c r="C64" s="22" t="s">
        <v>20</v>
      </c>
      <c r="D64" s="22" t="s">
        <v>20</v>
      </c>
      <c r="E64" s="22" t="s">
        <v>20</v>
      </c>
      <c r="F64" s="22" t="s">
        <v>20</v>
      </c>
      <c r="G64" s="30" t="s">
        <v>85</v>
      </c>
      <c r="H64" s="136"/>
      <c r="I64" s="13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6" x14ac:dyDescent="0.2">
      <c r="A65" s="31">
        <v>58</v>
      </c>
      <c r="B65" s="32" t="s">
        <v>86</v>
      </c>
      <c r="C65" s="33" t="s">
        <v>11</v>
      </c>
      <c r="D65" s="33" t="s">
        <v>11</v>
      </c>
      <c r="E65" s="33" t="s">
        <v>11</v>
      </c>
      <c r="F65" s="33" t="s">
        <v>11</v>
      </c>
      <c r="G65" s="34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32" x14ac:dyDescent="0.2">
      <c r="A66" s="31">
        <v>59</v>
      </c>
      <c r="B66" s="32" t="s">
        <v>87</v>
      </c>
      <c r="C66" s="33" t="s">
        <v>11</v>
      </c>
      <c r="D66" s="33" t="s">
        <v>11</v>
      </c>
      <c r="E66" s="33" t="s">
        <v>11</v>
      </c>
      <c r="F66" s="33" t="s">
        <v>11</v>
      </c>
      <c r="G66" s="34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6" x14ac:dyDescent="0.2">
      <c r="A67" s="20">
        <v>60</v>
      </c>
      <c r="B67" s="21" t="s">
        <v>88</v>
      </c>
      <c r="C67" s="22" t="s">
        <v>20</v>
      </c>
      <c r="D67" s="22" t="s">
        <v>20</v>
      </c>
      <c r="E67" s="22" t="s">
        <v>20</v>
      </c>
      <c r="F67" s="22" t="s">
        <v>20</v>
      </c>
      <c r="G67" s="30" t="s">
        <v>89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6" x14ac:dyDescent="0.2">
      <c r="A68" s="31">
        <v>61</v>
      </c>
      <c r="B68" s="32" t="s">
        <v>90</v>
      </c>
      <c r="C68" s="33" t="s">
        <v>11</v>
      </c>
      <c r="D68" s="33" t="s">
        <v>11</v>
      </c>
      <c r="E68" s="33" t="s">
        <v>11</v>
      </c>
      <c r="F68" s="33" t="s">
        <v>11</v>
      </c>
      <c r="G68" s="34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" x14ac:dyDescent="0.2">
      <c r="A69" s="142" t="s">
        <v>91</v>
      </c>
      <c r="B69" s="138"/>
      <c r="C69" s="138"/>
      <c r="D69" s="138"/>
      <c r="E69" s="138"/>
      <c r="F69" s="138"/>
      <c r="G69" s="13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0" x14ac:dyDescent="0.2">
      <c r="A70" s="5">
        <v>62</v>
      </c>
      <c r="B70" s="6" t="s">
        <v>92</v>
      </c>
      <c r="C70" s="7" t="s">
        <v>11</v>
      </c>
      <c r="D70" s="7" t="s">
        <v>11</v>
      </c>
      <c r="E70" s="7" t="s">
        <v>11</v>
      </c>
      <c r="F70" s="7" t="s">
        <v>11</v>
      </c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32" x14ac:dyDescent="0.2">
      <c r="A71" s="5">
        <v>63</v>
      </c>
      <c r="B71" s="6" t="s">
        <v>93</v>
      </c>
      <c r="C71" s="7" t="s">
        <v>11</v>
      </c>
      <c r="D71" s="7" t="s">
        <v>11</v>
      </c>
      <c r="E71" s="7" t="s">
        <v>11</v>
      </c>
      <c r="F71" s="7" t="s">
        <v>11</v>
      </c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32" x14ac:dyDescent="0.2">
      <c r="A72" s="20">
        <v>64</v>
      </c>
      <c r="B72" s="21" t="s">
        <v>94</v>
      </c>
      <c r="C72" s="22" t="s">
        <v>20</v>
      </c>
      <c r="D72" s="22" t="s">
        <v>20</v>
      </c>
      <c r="E72" s="22" t="s">
        <v>20</v>
      </c>
      <c r="F72" s="22" t="s">
        <v>20</v>
      </c>
      <c r="G72" s="23" t="s">
        <v>95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32" x14ac:dyDescent="0.2">
      <c r="A73" s="5">
        <v>65</v>
      </c>
      <c r="B73" s="6" t="s">
        <v>96</v>
      </c>
      <c r="C73" s="7" t="s">
        <v>11</v>
      </c>
      <c r="D73" s="7" t="s">
        <v>11</v>
      </c>
      <c r="E73" s="7" t="s">
        <v>11</v>
      </c>
      <c r="F73" s="7" t="s">
        <v>11</v>
      </c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" x14ac:dyDescent="0.2">
      <c r="A74" s="142" t="s">
        <v>97</v>
      </c>
      <c r="B74" s="138"/>
      <c r="C74" s="138"/>
      <c r="D74" s="138"/>
      <c r="E74" s="138"/>
      <c r="F74" s="138"/>
      <c r="G74" s="13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05" x14ac:dyDescent="0.2">
      <c r="A75" s="5">
        <v>66</v>
      </c>
      <c r="B75" s="10" t="s">
        <v>98</v>
      </c>
      <c r="C75" s="7" t="s">
        <v>11</v>
      </c>
      <c r="D75" s="7" t="s">
        <v>11</v>
      </c>
      <c r="E75" s="7" t="s">
        <v>11</v>
      </c>
      <c r="F75" s="7" t="s">
        <v>11</v>
      </c>
      <c r="G75" s="3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6" x14ac:dyDescent="0.2">
      <c r="A76" s="5">
        <v>67</v>
      </c>
      <c r="B76" s="6" t="s">
        <v>99</v>
      </c>
      <c r="C76" s="7" t="s">
        <v>11</v>
      </c>
      <c r="D76" s="7" t="s">
        <v>11</v>
      </c>
      <c r="E76" s="7" t="s">
        <v>11</v>
      </c>
      <c r="F76" s="7" t="s">
        <v>11</v>
      </c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60" x14ac:dyDescent="0.2">
      <c r="A77" s="5">
        <v>68</v>
      </c>
      <c r="B77" s="6" t="s">
        <v>100</v>
      </c>
      <c r="C77" s="7" t="s">
        <v>11</v>
      </c>
      <c r="D77" s="7" t="s">
        <v>11</v>
      </c>
      <c r="E77" s="7" t="s">
        <v>11</v>
      </c>
      <c r="F77" s="7" t="s">
        <v>11</v>
      </c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5" x14ac:dyDescent="0.2">
      <c r="A78" s="5">
        <v>69</v>
      </c>
      <c r="B78" s="6" t="s">
        <v>101</v>
      </c>
      <c r="C78" s="7" t="s">
        <v>11</v>
      </c>
      <c r="D78" s="7" t="s">
        <v>11</v>
      </c>
      <c r="E78" s="7" t="s">
        <v>11</v>
      </c>
      <c r="F78" s="7" t="s">
        <v>11</v>
      </c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32" x14ac:dyDescent="0.2">
      <c r="A79" s="5">
        <v>70</v>
      </c>
      <c r="B79" s="6" t="s">
        <v>102</v>
      </c>
      <c r="C79" s="7" t="s">
        <v>11</v>
      </c>
      <c r="D79" s="7" t="s">
        <v>11</v>
      </c>
      <c r="E79" s="7" t="s">
        <v>11</v>
      </c>
      <c r="F79" s="7" t="s">
        <v>11</v>
      </c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48" x14ac:dyDescent="0.2">
      <c r="A80" s="5">
        <v>71</v>
      </c>
      <c r="B80" s="6" t="s">
        <v>103</v>
      </c>
      <c r="C80" s="7" t="s">
        <v>11</v>
      </c>
      <c r="D80" s="7" t="s">
        <v>11</v>
      </c>
      <c r="E80" s="7" t="s">
        <v>11</v>
      </c>
      <c r="F80" s="7" t="s">
        <v>11</v>
      </c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0" x14ac:dyDescent="0.2">
      <c r="A81" s="5">
        <v>72</v>
      </c>
      <c r="B81" s="6" t="s">
        <v>104</v>
      </c>
      <c r="C81" s="7" t="s">
        <v>11</v>
      </c>
      <c r="D81" s="7" t="s">
        <v>11</v>
      </c>
      <c r="E81" s="7" t="s">
        <v>11</v>
      </c>
      <c r="F81" s="7" t="s">
        <v>11</v>
      </c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32" x14ac:dyDescent="0.2">
      <c r="A82" s="5">
        <v>73</v>
      </c>
      <c r="B82" s="6" t="s">
        <v>105</v>
      </c>
      <c r="C82" s="7" t="s">
        <v>11</v>
      </c>
      <c r="D82" s="7" t="s">
        <v>11</v>
      </c>
      <c r="E82" s="7" t="s">
        <v>11</v>
      </c>
      <c r="F82" s="7" t="s">
        <v>11</v>
      </c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64" x14ac:dyDescent="0.2">
      <c r="A83" s="5">
        <v>74</v>
      </c>
      <c r="B83" s="6" t="s">
        <v>106</v>
      </c>
      <c r="C83" s="7" t="s">
        <v>11</v>
      </c>
      <c r="D83" s="7" t="s">
        <v>11</v>
      </c>
      <c r="E83" s="7" t="s">
        <v>11</v>
      </c>
      <c r="F83" s="7" t="s">
        <v>11</v>
      </c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6" x14ac:dyDescent="0.2">
      <c r="A84" s="5">
        <v>75</v>
      </c>
      <c r="B84" s="6" t="s">
        <v>107</v>
      </c>
      <c r="C84" s="7" t="s">
        <v>11</v>
      </c>
      <c r="D84" s="7" t="s">
        <v>11</v>
      </c>
      <c r="E84" s="7" t="s">
        <v>11</v>
      </c>
      <c r="F84" s="7" t="s">
        <v>11</v>
      </c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32" x14ac:dyDescent="0.2">
      <c r="A85" s="20">
        <v>76</v>
      </c>
      <c r="B85" s="21" t="s">
        <v>108</v>
      </c>
      <c r="C85" s="22" t="s">
        <v>20</v>
      </c>
      <c r="D85" s="22" t="s">
        <v>20</v>
      </c>
      <c r="E85" s="22" t="s">
        <v>20</v>
      </c>
      <c r="F85" s="22" t="s">
        <v>20</v>
      </c>
      <c r="G85" s="23" t="s">
        <v>109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" x14ac:dyDescent="0.2">
      <c r="A86" s="142" t="s">
        <v>110</v>
      </c>
      <c r="B86" s="138"/>
      <c r="C86" s="138"/>
      <c r="D86" s="138"/>
      <c r="E86" s="138"/>
      <c r="F86" s="138"/>
      <c r="G86" s="13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05" x14ac:dyDescent="0.2">
      <c r="A87" s="5">
        <v>77</v>
      </c>
      <c r="B87" s="10" t="s">
        <v>111</v>
      </c>
      <c r="C87" s="7" t="s">
        <v>11</v>
      </c>
      <c r="D87" s="7" t="s">
        <v>11</v>
      </c>
      <c r="E87" s="7" t="s">
        <v>11</v>
      </c>
      <c r="F87" s="7" t="s">
        <v>11</v>
      </c>
      <c r="G87" s="17" t="s">
        <v>112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60" x14ac:dyDescent="0.2">
      <c r="A88" s="5">
        <v>78</v>
      </c>
      <c r="B88" s="6" t="s">
        <v>113</v>
      </c>
      <c r="C88" s="7" t="s">
        <v>11</v>
      </c>
      <c r="D88" s="7" t="s">
        <v>11</v>
      </c>
      <c r="E88" s="7" t="s">
        <v>11</v>
      </c>
      <c r="F88" s="7" t="s">
        <v>11</v>
      </c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60" x14ac:dyDescent="0.2">
      <c r="A89" s="5">
        <v>79</v>
      </c>
      <c r="B89" s="6" t="s">
        <v>114</v>
      </c>
      <c r="C89" s="7" t="s">
        <v>11</v>
      </c>
      <c r="D89" s="7" t="s">
        <v>11</v>
      </c>
      <c r="E89" s="7" t="s">
        <v>11</v>
      </c>
      <c r="F89" s="7" t="s">
        <v>11</v>
      </c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5" x14ac:dyDescent="0.2">
      <c r="A90" s="5">
        <v>80</v>
      </c>
      <c r="B90" s="6" t="s">
        <v>115</v>
      </c>
      <c r="C90" s="7" t="s">
        <v>20</v>
      </c>
      <c r="D90" s="7" t="s">
        <v>20</v>
      </c>
      <c r="E90" s="7" t="s">
        <v>20</v>
      </c>
      <c r="F90" s="7" t="s">
        <v>20</v>
      </c>
      <c r="G90" s="8" t="s">
        <v>116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32" x14ac:dyDescent="0.2">
      <c r="A91" s="5">
        <v>81</v>
      </c>
      <c r="B91" s="6" t="s">
        <v>117</v>
      </c>
      <c r="C91" s="7" t="s">
        <v>11</v>
      </c>
      <c r="D91" s="7" t="s">
        <v>11</v>
      </c>
      <c r="E91" s="7" t="s">
        <v>11</v>
      </c>
      <c r="F91" s="7" t="s">
        <v>11</v>
      </c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6" x14ac:dyDescent="0.2">
      <c r="A92" s="5">
        <v>82</v>
      </c>
      <c r="B92" s="6" t="s">
        <v>118</v>
      </c>
      <c r="C92" s="7" t="s">
        <v>11</v>
      </c>
      <c r="D92" s="7" t="s">
        <v>11</v>
      </c>
      <c r="E92" s="7" t="s">
        <v>11</v>
      </c>
      <c r="F92" s="7" t="s">
        <v>11</v>
      </c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32" x14ac:dyDescent="0.2">
      <c r="A93" s="36">
        <v>83</v>
      </c>
      <c r="B93" s="37" t="s">
        <v>119</v>
      </c>
      <c r="C93" s="22" t="s">
        <v>11</v>
      </c>
      <c r="D93" s="22" t="s">
        <v>11</v>
      </c>
      <c r="E93" s="22" t="s">
        <v>11</v>
      </c>
      <c r="F93" s="22" t="s">
        <v>11</v>
      </c>
      <c r="G93" s="23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" x14ac:dyDescent="0.2">
      <c r="A94" s="38"/>
      <c r="B94" s="39"/>
      <c r="C94" s="1"/>
      <c r="D94" s="1"/>
      <c r="E94" s="1"/>
      <c r="F94" s="1"/>
      <c r="G94" s="24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" x14ac:dyDescent="0.2">
      <c r="A95" s="40"/>
      <c r="B95" s="29"/>
      <c r="C95" s="1"/>
      <c r="D95" s="1"/>
      <c r="E95" s="1"/>
      <c r="F95" s="1"/>
      <c r="G95" s="24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" x14ac:dyDescent="0.2">
      <c r="A96" s="40"/>
      <c r="B96" s="29"/>
      <c r="C96" s="1"/>
      <c r="D96" s="1"/>
      <c r="E96" s="1"/>
      <c r="F96" s="1"/>
      <c r="G96" s="24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" x14ac:dyDescent="0.2">
      <c r="A97" s="40"/>
      <c r="B97" s="29"/>
      <c r="C97" s="1"/>
      <c r="D97" s="1"/>
      <c r="E97" s="1"/>
      <c r="F97" s="1"/>
      <c r="G97" s="24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" x14ac:dyDescent="0.2">
      <c r="A98" s="40"/>
      <c r="B98" s="29"/>
      <c r="C98" s="1"/>
      <c r="D98" s="1"/>
      <c r="E98" s="1"/>
      <c r="F98" s="1"/>
      <c r="G98" s="24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" x14ac:dyDescent="0.2">
      <c r="A99" s="40"/>
      <c r="B99" s="29"/>
      <c r="C99" s="1"/>
      <c r="D99" s="1"/>
      <c r="E99" s="1"/>
      <c r="F99" s="1"/>
      <c r="G99" s="24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" x14ac:dyDescent="0.2">
      <c r="A100" s="40"/>
      <c r="B100" s="29"/>
      <c r="C100" s="1"/>
      <c r="D100" s="1"/>
      <c r="E100" s="1"/>
      <c r="F100" s="1"/>
      <c r="G100" s="24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" x14ac:dyDescent="0.2">
      <c r="A101" s="40"/>
      <c r="B101" s="29"/>
      <c r="C101" s="1"/>
      <c r="D101" s="1"/>
      <c r="E101" s="1"/>
      <c r="F101" s="1"/>
      <c r="G101" s="24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" x14ac:dyDescent="0.2">
      <c r="A102" s="40"/>
      <c r="B102" s="29"/>
      <c r="C102" s="1"/>
      <c r="D102" s="1"/>
      <c r="E102" s="1"/>
      <c r="F102" s="1"/>
      <c r="G102" s="24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" x14ac:dyDescent="0.2">
      <c r="A103" s="40"/>
      <c r="B103" s="29"/>
      <c r="C103" s="1"/>
      <c r="D103" s="1"/>
      <c r="E103" s="1"/>
      <c r="F103" s="1"/>
      <c r="G103" s="24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" x14ac:dyDescent="0.2">
      <c r="A104" s="40"/>
      <c r="B104" s="29"/>
      <c r="C104" s="1"/>
      <c r="D104" s="1"/>
      <c r="E104" s="1"/>
      <c r="F104" s="1"/>
      <c r="G104" s="24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" x14ac:dyDescent="0.2">
      <c r="A105" s="40"/>
      <c r="B105" s="29"/>
      <c r="C105" s="1"/>
      <c r="D105" s="1"/>
      <c r="E105" s="1"/>
      <c r="F105" s="1"/>
      <c r="G105" s="24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" x14ac:dyDescent="0.2">
      <c r="A106" s="40"/>
      <c r="B106" s="29"/>
      <c r="C106" s="1"/>
      <c r="D106" s="1"/>
      <c r="E106" s="1"/>
      <c r="F106" s="1"/>
      <c r="G106" s="24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" x14ac:dyDescent="0.2">
      <c r="A107" s="40"/>
      <c r="B107" s="29"/>
      <c r="C107" s="1"/>
      <c r="D107" s="1"/>
      <c r="E107" s="1"/>
      <c r="F107" s="1"/>
      <c r="G107" s="24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" x14ac:dyDescent="0.2">
      <c r="A108" s="40"/>
      <c r="B108" s="29"/>
      <c r="C108" s="1"/>
      <c r="D108" s="1"/>
      <c r="E108" s="1"/>
      <c r="F108" s="1"/>
      <c r="G108" s="24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" x14ac:dyDescent="0.2">
      <c r="A109" s="40"/>
      <c r="B109" s="29"/>
      <c r="C109" s="1"/>
      <c r="D109" s="1"/>
      <c r="E109" s="1"/>
      <c r="F109" s="1"/>
      <c r="G109" s="24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" x14ac:dyDescent="0.2">
      <c r="A110" s="40"/>
      <c r="B110" s="29"/>
      <c r="C110" s="1"/>
      <c r="D110" s="1"/>
      <c r="E110" s="1"/>
      <c r="F110" s="1"/>
      <c r="G110" s="24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" x14ac:dyDescent="0.2">
      <c r="A111" s="40"/>
      <c r="B111" s="29"/>
      <c r="C111" s="1"/>
      <c r="D111" s="1"/>
      <c r="E111" s="1"/>
      <c r="F111" s="1"/>
      <c r="G111" s="24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" x14ac:dyDescent="0.2">
      <c r="A112" s="40"/>
      <c r="B112" s="29"/>
      <c r="C112" s="1"/>
      <c r="D112" s="1"/>
      <c r="E112" s="1"/>
      <c r="F112" s="1"/>
      <c r="G112" s="24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" x14ac:dyDescent="0.2">
      <c r="A113" s="40"/>
      <c r="B113" s="29"/>
      <c r="C113" s="1"/>
      <c r="D113" s="1"/>
      <c r="E113" s="1"/>
      <c r="F113" s="1"/>
      <c r="G113" s="24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" x14ac:dyDescent="0.2">
      <c r="A114" s="40"/>
      <c r="B114" s="29"/>
      <c r="C114" s="1"/>
      <c r="D114" s="1"/>
      <c r="E114" s="1"/>
      <c r="F114" s="1"/>
      <c r="G114" s="24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" x14ac:dyDescent="0.2">
      <c r="A115" s="40"/>
      <c r="B115" s="29"/>
      <c r="C115" s="1"/>
      <c r="D115" s="1"/>
      <c r="E115" s="1"/>
      <c r="F115" s="1"/>
      <c r="G115" s="24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" x14ac:dyDescent="0.2">
      <c r="A116" s="40"/>
      <c r="B116" s="29"/>
      <c r="C116" s="1"/>
      <c r="D116" s="1"/>
      <c r="E116" s="1"/>
      <c r="F116" s="1"/>
      <c r="G116" s="24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" x14ac:dyDescent="0.2">
      <c r="A117" s="40"/>
      <c r="B117" s="29"/>
      <c r="C117" s="1"/>
      <c r="D117" s="1"/>
      <c r="E117" s="1"/>
      <c r="F117" s="1"/>
      <c r="G117" s="24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" x14ac:dyDescent="0.2">
      <c r="A118" s="40"/>
      <c r="B118" s="29"/>
      <c r="C118" s="1"/>
      <c r="D118" s="1"/>
      <c r="E118" s="1"/>
      <c r="F118" s="1"/>
      <c r="G118" s="24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" x14ac:dyDescent="0.2">
      <c r="A119" s="40"/>
      <c r="B119" s="29"/>
      <c r="C119" s="1"/>
      <c r="D119" s="1"/>
      <c r="E119" s="1"/>
      <c r="F119" s="1"/>
      <c r="G119" s="24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" x14ac:dyDescent="0.2">
      <c r="A120" s="40"/>
      <c r="B120" s="29"/>
      <c r="C120" s="1"/>
      <c r="D120" s="1"/>
      <c r="E120" s="1"/>
      <c r="F120" s="1"/>
      <c r="G120" s="24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" x14ac:dyDescent="0.2">
      <c r="A121" s="40"/>
      <c r="B121" s="29"/>
      <c r="C121" s="1"/>
      <c r="D121" s="1"/>
      <c r="E121" s="1"/>
      <c r="F121" s="1"/>
      <c r="G121" s="24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" x14ac:dyDescent="0.2">
      <c r="A122" s="40"/>
      <c r="B122" s="29"/>
      <c r="C122" s="1"/>
      <c r="D122" s="1"/>
      <c r="E122" s="1"/>
      <c r="F122" s="1"/>
      <c r="G122" s="24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" x14ac:dyDescent="0.2">
      <c r="A123" s="40"/>
      <c r="B123" s="29"/>
      <c r="C123" s="1"/>
      <c r="D123" s="1"/>
      <c r="E123" s="1"/>
      <c r="F123" s="1"/>
      <c r="G123" s="24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" x14ac:dyDescent="0.2">
      <c r="A124" s="40"/>
      <c r="B124" s="29"/>
      <c r="C124" s="1"/>
      <c r="D124" s="1"/>
      <c r="E124" s="1"/>
      <c r="F124" s="1"/>
      <c r="G124" s="24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" x14ac:dyDescent="0.2">
      <c r="A125" s="40"/>
      <c r="B125" s="29"/>
      <c r="C125" s="1"/>
      <c r="D125" s="1"/>
      <c r="E125" s="1"/>
      <c r="F125" s="1"/>
      <c r="G125" s="24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" x14ac:dyDescent="0.2">
      <c r="A126" s="40"/>
      <c r="B126" s="29"/>
      <c r="C126" s="1"/>
      <c r="D126" s="1"/>
      <c r="E126" s="1"/>
      <c r="F126" s="1"/>
      <c r="G126" s="24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" x14ac:dyDescent="0.2">
      <c r="A127" s="40"/>
      <c r="B127" s="29"/>
      <c r="C127" s="1"/>
      <c r="D127" s="1"/>
      <c r="E127" s="1"/>
      <c r="F127" s="1"/>
      <c r="G127" s="24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" x14ac:dyDescent="0.2">
      <c r="A128" s="40"/>
      <c r="B128" s="29"/>
      <c r="C128" s="1"/>
      <c r="D128" s="1"/>
      <c r="E128" s="1"/>
      <c r="F128" s="1"/>
      <c r="G128" s="24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" x14ac:dyDescent="0.2">
      <c r="A129" s="40"/>
      <c r="B129" s="29"/>
      <c r="C129" s="1"/>
      <c r="D129" s="1"/>
      <c r="E129" s="1"/>
      <c r="F129" s="1"/>
      <c r="G129" s="24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" x14ac:dyDescent="0.2">
      <c r="A130" s="40"/>
      <c r="B130" s="29"/>
      <c r="C130" s="1"/>
      <c r="D130" s="1"/>
      <c r="E130" s="1"/>
      <c r="F130" s="1"/>
      <c r="G130" s="24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" x14ac:dyDescent="0.2">
      <c r="A131" s="40"/>
      <c r="B131" s="29"/>
      <c r="C131" s="1"/>
      <c r="D131" s="1"/>
      <c r="E131" s="1"/>
      <c r="F131" s="1"/>
      <c r="G131" s="24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" x14ac:dyDescent="0.2">
      <c r="A132" s="40"/>
      <c r="B132" s="29"/>
      <c r="C132" s="1"/>
      <c r="D132" s="1"/>
      <c r="E132" s="1"/>
      <c r="F132" s="1"/>
      <c r="G132" s="24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" x14ac:dyDescent="0.2">
      <c r="A133" s="40"/>
      <c r="B133" s="29"/>
      <c r="C133" s="1"/>
      <c r="D133" s="1"/>
      <c r="E133" s="1"/>
      <c r="F133" s="1"/>
      <c r="G133" s="24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" x14ac:dyDescent="0.2">
      <c r="A134" s="40"/>
      <c r="B134" s="29"/>
      <c r="C134" s="1"/>
      <c r="D134" s="1"/>
      <c r="E134" s="1"/>
      <c r="F134" s="1"/>
      <c r="G134" s="24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" x14ac:dyDescent="0.2">
      <c r="A135" s="40"/>
      <c r="B135" s="29"/>
      <c r="C135" s="1"/>
      <c r="D135" s="1"/>
      <c r="E135" s="1"/>
      <c r="F135" s="1"/>
      <c r="G135" s="24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" x14ac:dyDescent="0.2">
      <c r="A136" s="40"/>
      <c r="B136" s="29"/>
      <c r="C136" s="1"/>
      <c r="D136" s="1"/>
      <c r="E136" s="1"/>
      <c r="F136" s="1"/>
      <c r="G136" s="24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" x14ac:dyDescent="0.2">
      <c r="A137" s="40"/>
      <c r="B137" s="29"/>
      <c r="C137" s="1"/>
      <c r="D137" s="1"/>
      <c r="E137" s="1"/>
      <c r="F137" s="1"/>
      <c r="G137" s="24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" x14ac:dyDescent="0.2">
      <c r="A138" s="40"/>
      <c r="B138" s="29"/>
      <c r="C138" s="1"/>
      <c r="D138" s="1"/>
      <c r="E138" s="1"/>
      <c r="F138" s="1"/>
      <c r="G138" s="24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" x14ac:dyDescent="0.2">
      <c r="A139" s="40"/>
      <c r="B139" s="29"/>
      <c r="C139" s="1"/>
      <c r="D139" s="1"/>
      <c r="E139" s="1"/>
      <c r="F139" s="1"/>
      <c r="G139" s="24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" x14ac:dyDescent="0.2">
      <c r="A140" s="40"/>
      <c r="B140" s="29"/>
      <c r="C140" s="1"/>
      <c r="D140" s="1"/>
      <c r="E140" s="1"/>
      <c r="F140" s="1"/>
      <c r="G140" s="24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" x14ac:dyDescent="0.2">
      <c r="A141" s="40"/>
      <c r="B141" s="29"/>
      <c r="C141" s="1"/>
      <c r="D141" s="1"/>
      <c r="E141" s="1"/>
      <c r="F141" s="1"/>
      <c r="G141" s="24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" x14ac:dyDescent="0.2">
      <c r="A142" s="40"/>
      <c r="B142" s="29"/>
      <c r="C142" s="1"/>
      <c r="D142" s="1"/>
      <c r="E142" s="1"/>
      <c r="F142" s="1"/>
      <c r="G142" s="24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" x14ac:dyDescent="0.2">
      <c r="A143" s="40"/>
      <c r="B143" s="29"/>
      <c r="C143" s="1"/>
      <c r="D143" s="1"/>
      <c r="E143" s="1"/>
      <c r="F143" s="1"/>
      <c r="G143" s="24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" x14ac:dyDescent="0.2">
      <c r="A144" s="40"/>
      <c r="B144" s="29"/>
      <c r="C144" s="1"/>
      <c r="D144" s="1"/>
      <c r="E144" s="1"/>
      <c r="F144" s="1"/>
      <c r="G144" s="24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" x14ac:dyDescent="0.2">
      <c r="A145" s="40"/>
      <c r="B145" s="29"/>
      <c r="C145" s="1"/>
      <c r="D145" s="1"/>
      <c r="E145" s="1"/>
      <c r="F145" s="1"/>
      <c r="G145" s="24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" x14ac:dyDescent="0.2">
      <c r="A146" s="40"/>
      <c r="B146" s="29"/>
      <c r="C146" s="1"/>
      <c r="D146" s="1"/>
      <c r="E146" s="1"/>
      <c r="F146" s="1"/>
      <c r="G146" s="24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" x14ac:dyDescent="0.2">
      <c r="A147" s="40"/>
      <c r="B147" s="29"/>
      <c r="C147" s="1"/>
      <c r="D147" s="1"/>
      <c r="E147" s="1"/>
      <c r="F147" s="1"/>
      <c r="G147" s="24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" x14ac:dyDescent="0.2">
      <c r="A148" s="40"/>
      <c r="B148" s="29"/>
      <c r="C148" s="1"/>
      <c r="D148" s="1"/>
      <c r="E148" s="1"/>
      <c r="F148" s="1"/>
      <c r="G148" s="24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" x14ac:dyDescent="0.2">
      <c r="A149" s="40"/>
      <c r="B149" s="29"/>
      <c r="C149" s="1"/>
      <c r="D149" s="1"/>
      <c r="E149" s="1"/>
      <c r="F149" s="1"/>
      <c r="G149" s="24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" x14ac:dyDescent="0.2">
      <c r="A150" s="40"/>
      <c r="B150" s="29"/>
      <c r="C150" s="1"/>
      <c r="D150" s="1"/>
      <c r="E150" s="1"/>
      <c r="F150" s="1"/>
      <c r="G150" s="24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" x14ac:dyDescent="0.2">
      <c r="A151" s="40"/>
      <c r="B151" s="29"/>
      <c r="C151" s="1"/>
      <c r="D151" s="1"/>
      <c r="E151" s="1"/>
      <c r="F151" s="1"/>
      <c r="G151" s="24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" x14ac:dyDescent="0.2">
      <c r="A152" s="40"/>
      <c r="B152" s="29"/>
      <c r="C152" s="1"/>
      <c r="D152" s="1"/>
      <c r="E152" s="1"/>
      <c r="F152" s="1"/>
      <c r="G152" s="24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" x14ac:dyDescent="0.2">
      <c r="A153" s="40"/>
      <c r="B153" s="29"/>
      <c r="C153" s="1"/>
      <c r="D153" s="1"/>
      <c r="E153" s="1"/>
      <c r="F153" s="1"/>
      <c r="G153" s="24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" x14ac:dyDescent="0.2">
      <c r="A154" s="40"/>
      <c r="B154" s="29"/>
      <c r="C154" s="1"/>
      <c r="D154" s="1"/>
      <c r="E154" s="1"/>
      <c r="F154" s="1"/>
      <c r="G154" s="24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" x14ac:dyDescent="0.2">
      <c r="A155" s="40"/>
      <c r="B155" s="29"/>
      <c r="C155" s="1"/>
      <c r="D155" s="1"/>
      <c r="E155" s="1"/>
      <c r="F155" s="1"/>
      <c r="G155" s="24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" x14ac:dyDescent="0.2">
      <c r="A156" s="40"/>
      <c r="B156" s="29"/>
      <c r="C156" s="1"/>
      <c r="D156" s="1"/>
      <c r="E156" s="1"/>
      <c r="F156" s="1"/>
      <c r="G156" s="24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" x14ac:dyDescent="0.2">
      <c r="A157" s="40"/>
      <c r="B157" s="29"/>
      <c r="C157" s="1"/>
      <c r="D157" s="1"/>
      <c r="E157" s="1"/>
      <c r="F157" s="1"/>
      <c r="G157" s="24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" x14ac:dyDescent="0.2">
      <c r="A158" s="40"/>
      <c r="B158" s="29"/>
      <c r="C158" s="1"/>
      <c r="D158" s="1"/>
      <c r="E158" s="1"/>
      <c r="F158" s="1"/>
      <c r="G158" s="24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" x14ac:dyDescent="0.2">
      <c r="A159" s="40"/>
      <c r="B159" s="29"/>
      <c r="C159" s="1"/>
      <c r="D159" s="1"/>
      <c r="E159" s="1"/>
      <c r="F159" s="1"/>
      <c r="G159" s="24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" x14ac:dyDescent="0.2">
      <c r="A160" s="40"/>
      <c r="B160" s="29"/>
      <c r="C160" s="1"/>
      <c r="D160" s="1"/>
      <c r="E160" s="1"/>
      <c r="F160" s="1"/>
      <c r="G160" s="24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" x14ac:dyDescent="0.2">
      <c r="A161" s="40"/>
      <c r="B161" s="29"/>
      <c r="C161" s="1"/>
      <c r="D161" s="1"/>
      <c r="E161" s="1"/>
      <c r="F161" s="1"/>
      <c r="G161" s="24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" x14ac:dyDescent="0.2">
      <c r="A162" s="40"/>
      <c r="B162" s="29"/>
      <c r="C162" s="1"/>
      <c r="D162" s="1"/>
      <c r="E162" s="1"/>
      <c r="F162" s="1"/>
      <c r="G162" s="24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" x14ac:dyDescent="0.2">
      <c r="A163" s="40"/>
      <c r="B163" s="29"/>
      <c r="C163" s="1"/>
      <c r="D163" s="1"/>
      <c r="E163" s="1"/>
      <c r="F163" s="1"/>
      <c r="G163" s="24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" x14ac:dyDescent="0.2">
      <c r="A164" s="40"/>
      <c r="B164" s="29"/>
      <c r="C164" s="1"/>
      <c r="D164" s="1"/>
      <c r="E164" s="1"/>
      <c r="F164" s="1"/>
      <c r="G164" s="24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" x14ac:dyDescent="0.2">
      <c r="A165" s="40"/>
      <c r="B165" s="29"/>
      <c r="C165" s="1"/>
      <c r="D165" s="1"/>
      <c r="E165" s="1"/>
      <c r="F165" s="1"/>
      <c r="G165" s="24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" x14ac:dyDescent="0.2">
      <c r="A166" s="40"/>
      <c r="B166" s="29"/>
      <c r="C166" s="1"/>
      <c r="D166" s="1"/>
      <c r="E166" s="1"/>
      <c r="F166" s="1"/>
      <c r="G166" s="2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" x14ac:dyDescent="0.2">
      <c r="A167" s="40"/>
      <c r="B167" s="29"/>
      <c r="C167" s="1"/>
      <c r="D167" s="1"/>
      <c r="E167" s="1"/>
      <c r="F167" s="1"/>
      <c r="G167" s="24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" x14ac:dyDescent="0.2">
      <c r="A168" s="40"/>
      <c r="B168" s="29"/>
      <c r="C168" s="1"/>
      <c r="D168" s="1"/>
      <c r="E168" s="1"/>
      <c r="F168" s="1"/>
      <c r="G168" s="24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" x14ac:dyDescent="0.2">
      <c r="A169" s="40"/>
      <c r="B169" s="29"/>
      <c r="C169" s="1"/>
      <c r="D169" s="1"/>
      <c r="E169" s="1"/>
      <c r="F169" s="1"/>
      <c r="G169" s="24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" x14ac:dyDescent="0.2">
      <c r="A170" s="40"/>
      <c r="B170" s="29"/>
      <c r="C170" s="1"/>
      <c r="D170" s="1"/>
      <c r="E170" s="1"/>
      <c r="F170" s="1"/>
      <c r="G170" s="24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" x14ac:dyDescent="0.2">
      <c r="A171" s="40"/>
      <c r="B171" s="29"/>
      <c r="C171" s="1"/>
      <c r="D171" s="1"/>
      <c r="E171" s="1"/>
      <c r="F171" s="1"/>
      <c r="G171" s="24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" x14ac:dyDescent="0.2">
      <c r="A172" s="40"/>
      <c r="B172" s="29"/>
      <c r="C172" s="1"/>
      <c r="D172" s="1"/>
      <c r="E172" s="1"/>
      <c r="F172" s="1"/>
      <c r="G172" s="24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" x14ac:dyDescent="0.2">
      <c r="A173" s="40"/>
      <c r="B173" s="29"/>
      <c r="C173" s="1"/>
      <c r="D173" s="1"/>
      <c r="E173" s="1"/>
      <c r="F173" s="1"/>
      <c r="G173" s="24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" x14ac:dyDescent="0.2">
      <c r="A174" s="40"/>
      <c r="B174" s="29"/>
      <c r="C174" s="1"/>
      <c r="D174" s="1"/>
      <c r="E174" s="1"/>
      <c r="F174" s="1"/>
      <c r="G174" s="24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" x14ac:dyDescent="0.2">
      <c r="A175" s="40"/>
      <c r="B175" s="29"/>
      <c r="C175" s="1"/>
      <c r="D175" s="1"/>
      <c r="E175" s="1"/>
      <c r="F175" s="1"/>
      <c r="G175" s="24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" x14ac:dyDescent="0.2">
      <c r="A176" s="40"/>
      <c r="B176" s="29"/>
      <c r="C176" s="1"/>
      <c r="D176" s="1"/>
      <c r="E176" s="1"/>
      <c r="F176" s="1"/>
      <c r="G176" s="24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" x14ac:dyDescent="0.2">
      <c r="A177" s="40"/>
      <c r="B177" s="29"/>
      <c r="C177" s="1"/>
      <c r="D177" s="1"/>
      <c r="E177" s="1"/>
      <c r="F177" s="1"/>
      <c r="G177" s="24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" x14ac:dyDescent="0.2">
      <c r="A178" s="40"/>
      <c r="B178" s="29"/>
      <c r="C178" s="1"/>
      <c r="D178" s="1"/>
      <c r="E178" s="1"/>
      <c r="F178" s="1"/>
      <c r="G178" s="24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" x14ac:dyDescent="0.2">
      <c r="A179" s="40"/>
      <c r="B179" s="29"/>
      <c r="C179" s="1"/>
      <c r="D179" s="1"/>
      <c r="E179" s="1"/>
      <c r="F179" s="1"/>
      <c r="G179" s="24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" x14ac:dyDescent="0.2">
      <c r="A180" s="40"/>
      <c r="B180" s="29"/>
      <c r="C180" s="1"/>
      <c r="D180" s="1"/>
      <c r="E180" s="1"/>
      <c r="F180" s="1"/>
      <c r="G180" s="24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" x14ac:dyDescent="0.2">
      <c r="A181" s="40"/>
      <c r="B181" s="29"/>
      <c r="C181" s="1"/>
      <c r="D181" s="1"/>
      <c r="E181" s="1"/>
      <c r="F181" s="1"/>
      <c r="G181" s="24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" x14ac:dyDescent="0.2">
      <c r="A182" s="40"/>
      <c r="B182" s="29"/>
      <c r="C182" s="1"/>
      <c r="D182" s="1"/>
      <c r="E182" s="1"/>
      <c r="F182" s="1"/>
      <c r="G182" s="24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" x14ac:dyDescent="0.2">
      <c r="A183" s="40"/>
      <c r="B183" s="29"/>
      <c r="C183" s="1"/>
      <c r="D183" s="1"/>
      <c r="E183" s="1"/>
      <c r="F183" s="1"/>
      <c r="G183" s="24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" x14ac:dyDescent="0.2">
      <c r="A184" s="40"/>
      <c r="B184" s="29"/>
      <c r="C184" s="1"/>
      <c r="D184" s="1"/>
      <c r="E184" s="1"/>
      <c r="F184" s="1"/>
      <c r="G184" s="24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" x14ac:dyDescent="0.2">
      <c r="A185" s="40"/>
      <c r="B185" s="29"/>
      <c r="C185" s="1"/>
      <c r="D185" s="1"/>
      <c r="E185" s="1"/>
      <c r="F185" s="1"/>
      <c r="G185" s="24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" x14ac:dyDescent="0.2">
      <c r="A186" s="40"/>
      <c r="B186" s="29"/>
      <c r="C186" s="1"/>
      <c r="D186" s="1"/>
      <c r="E186" s="1"/>
      <c r="F186" s="1"/>
      <c r="G186" s="24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" x14ac:dyDescent="0.2">
      <c r="A187" s="40"/>
      <c r="B187" s="29"/>
      <c r="C187" s="1"/>
      <c r="D187" s="1"/>
      <c r="E187" s="1"/>
      <c r="F187" s="1"/>
      <c r="G187" s="24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" x14ac:dyDescent="0.2">
      <c r="A188" s="40"/>
      <c r="B188" s="29"/>
      <c r="C188" s="1"/>
      <c r="D188" s="1"/>
      <c r="E188" s="1"/>
      <c r="F188" s="1"/>
      <c r="G188" s="24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" x14ac:dyDescent="0.2">
      <c r="A189" s="40"/>
      <c r="B189" s="29"/>
      <c r="C189" s="1"/>
      <c r="D189" s="1"/>
      <c r="E189" s="1"/>
      <c r="F189" s="1"/>
      <c r="G189" s="24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" x14ac:dyDescent="0.2">
      <c r="A190" s="40"/>
      <c r="B190" s="29"/>
      <c r="C190" s="1"/>
      <c r="D190" s="1"/>
      <c r="E190" s="1"/>
      <c r="F190" s="1"/>
      <c r="G190" s="24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" x14ac:dyDescent="0.2">
      <c r="A191" s="40"/>
      <c r="B191" s="29"/>
      <c r="C191" s="1"/>
      <c r="D191" s="1"/>
      <c r="E191" s="1"/>
      <c r="F191" s="1"/>
      <c r="G191" s="24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" x14ac:dyDescent="0.2">
      <c r="A192" s="40"/>
      <c r="B192" s="29"/>
      <c r="C192" s="1"/>
      <c r="D192" s="1"/>
      <c r="E192" s="1"/>
      <c r="F192" s="1"/>
      <c r="G192" s="24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" x14ac:dyDescent="0.2">
      <c r="A193" s="40"/>
      <c r="B193" s="29"/>
      <c r="C193" s="1"/>
      <c r="D193" s="1"/>
      <c r="E193" s="1"/>
      <c r="F193" s="1"/>
      <c r="G193" s="24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" x14ac:dyDescent="0.2">
      <c r="A194" s="40"/>
      <c r="B194" s="29"/>
      <c r="C194" s="1"/>
      <c r="D194" s="1"/>
      <c r="E194" s="1"/>
      <c r="F194" s="1"/>
      <c r="G194" s="24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" x14ac:dyDescent="0.2">
      <c r="A195" s="40"/>
      <c r="B195" s="29"/>
      <c r="C195" s="1"/>
      <c r="D195" s="1"/>
      <c r="E195" s="1"/>
      <c r="F195" s="1"/>
      <c r="G195" s="24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" x14ac:dyDescent="0.2">
      <c r="A196" s="40"/>
      <c r="B196" s="29"/>
      <c r="C196" s="1"/>
      <c r="D196" s="1"/>
      <c r="E196" s="1"/>
      <c r="F196" s="1"/>
      <c r="G196" s="24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" x14ac:dyDescent="0.2">
      <c r="A197" s="40"/>
      <c r="B197" s="29"/>
      <c r="C197" s="1"/>
      <c r="D197" s="1"/>
      <c r="E197" s="1"/>
      <c r="F197" s="1"/>
      <c r="G197" s="24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" x14ac:dyDescent="0.2">
      <c r="A198" s="40"/>
      <c r="B198" s="29"/>
      <c r="C198" s="1"/>
      <c r="D198" s="1"/>
      <c r="E198" s="1"/>
      <c r="F198" s="1"/>
      <c r="G198" s="24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" x14ac:dyDescent="0.2">
      <c r="A199" s="40"/>
      <c r="B199" s="29"/>
      <c r="C199" s="1"/>
      <c r="D199" s="1"/>
      <c r="E199" s="1"/>
      <c r="F199" s="1"/>
      <c r="G199" s="24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" x14ac:dyDescent="0.2">
      <c r="A200" s="40"/>
      <c r="B200" s="29"/>
      <c r="C200" s="1"/>
      <c r="D200" s="1"/>
      <c r="E200" s="1"/>
      <c r="F200" s="1"/>
      <c r="G200" s="24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" x14ac:dyDescent="0.2">
      <c r="A201" s="40"/>
      <c r="B201" s="29"/>
      <c r="C201" s="1"/>
      <c r="D201" s="1"/>
      <c r="E201" s="1"/>
      <c r="F201" s="1"/>
      <c r="G201" s="24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" x14ac:dyDescent="0.2">
      <c r="A202" s="40"/>
      <c r="B202" s="29"/>
      <c r="C202" s="1"/>
      <c r="D202" s="1"/>
      <c r="E202" s="1"/>
      <c r="F202" s="1"/>
      <c r="G202" s="24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" x14ac:dyDescent="0.2">
      <c r="A203" s="40"/>
      <c r="B203" s="29"/>
      <c r="C203" s="1"/>
      <c r="D203" s="1"/>
      <c r="E203" s="1"/>
      <c r="F203" s="1"/>
      <c r="G203" s="24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" x14ac:dyDescent="0.2">
      <c r="A204" s="40"/>
      <c r="B204" s="29"/>
      <c r="C204" s="1"/>
      <c r="D204" s="1"/>
      <c r="E204" s="1"/>
      <c r="F204" s="1"/>
      <c r="G204" s="24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" x14ac:dyDescent="0.2">
      <c r="A205" s="40"/>
      <c r="B205" s="29"/>
      <c r="C205" s="1"/>
      <c r="D205" s="1"/>
      <c r="E205" s="1"/>
      <c r="F205" s="1"/>
      <c r="G205" s="24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" x14ac:dyDescent="0.2">
      <c r="A206" s="40"/>
      <c r="B206" s="29"/>
      <c r="C206" s="1"/>
      <c r="D206" s="1"/>
      <c r="E206" s="1"/>
      <c r="F206" s="1"/>
      <c r="G206" s="24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" x14ac:dyDescent="0.2">
      <c r="A207" s="40"/>
      <c r="B207" s="29"/>
      <c r="C207" s="1"/>
      <c r="D207" s="1"/>
      <c r="E207" s="1"/>
      <c r="F207" s="1"/>
      <c r="G207" s="24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" x14ac:dyDescent="0.2">
      <c r="A208" s="40"/>
      <c r="B208" s="29"/>
      <c r="C208" s="1"/>
      <c r="D208" s="1"/>
      <c r="E208" s="1"/>
      <c r="F208" s="1"/>
      <c r="G208" s="24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" x14ac:dyDescent="0.2">
      <c r="A209" s="40"/>
      <c r="B209" s="29"/>
      <c r="C209" s="1"/>
      <c r="D209" s="1"/>
      <c r="E209" s="1"/>
      <c r="F209" s="1"/>
      <c r="G209" s="24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" x14ac:dyDescent="0.2">
      <c r="A210" s="40"/>
      <c r="B210" s="29"/>
      <c r="C210" s="1"/>
      <c r="D210" s="1"/>
      <c r="E210" s="1"/>
      <c r="F210" s="1"/>
      <c r="G210" s="24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" x14ac:dyDescent="0.2">
      <c r="A211" s="40"/>
      <c r="B211" s="29"/>
      <c r="C211" s="1"/>
      <c r="D211" s="1"/>
      <c r="E211" s="1"/>
      <c r="F211" s="1"/>
      <c r="G211" s="24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" x14ac:dyDescent="0.2">
      <c r="A212" s="40"/>
      <c r="B212" s="29"/>
      <c r="C212" s="1"/>
      <c r="D212" s="1"/>
      <c r="E212" s="1"/>
      <c r="F212" s="1"/>
      <c r="G212" s="24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" x14ac:dyDescent="0.2">
      <c r="A213" s="40"/>
      <c r="B213" s="29"/>
      <c r="C213" s="1"/>
      <c r="D213" s="1"/>
      <c r="E213" s="1"/>
      <c r="F213" s="1"/>
      <c r="G213" s="24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" x14ac:dyDescent="0.2">
      <c r="A214" s="40"/>
      <c r="B214" s="29"/>
      <c r="C214" s="1"/>
      <c r="D214" s="1"/>
      <c r="E214" s="1"/>
      <c r="F214" s="1"/>
      <c r="G214" s="24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" x14ac:dyDescent="0.2">
      <c r="A215" s="40"/>
      <c r="B215" s="29"/>
      <c r="C215" s="1"/>
      <c r="D215" s="1"/>
      <c r="E215" s="1"/>
      <c r="F215" s="1"/>
      <c r="G215" s="24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" x14ac:dyDescent="0.2">
      <c r="A216" s="40"/>
      <c r="B216" s="29"/>
      <c r="C216" s="1"/>
      <c r="D216" s="1"/>
      <c r="E216" s="1"/>
      <c r="F216" s="1"/>
      <c r="G216" s="24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" x14ac:dyDescent="0.2">
      <c r="A217" s="40"/>
      <c r="B217" s="29"/>
      <c r="C217" s="1"/>
      <c r="D217" s="1"/>
      <c r="E217" s="1"/>
      <c r="F217" s="1"/>
      <c r="G217" s="24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" x14ac:dyDescent="0.2">
      <c r="A218" s="40"/>
      <c r="B218" s="29"/>
      <c r="C218" s="1"/>
      <c r="D218" s="1"/>
      <c r="E218" s="1"/>
      <c r="F218" s="1"/>
      <c r="G218" s="24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" x14ac:dyDescent="0.2">
      <c r="A219" s="40"/>
      <c r="B219" s="29"/>
      <c r="C219" s="1"/>
      <c r="D219" s="1"/>
      <c r="E219" s="1"/>
      <c r="F219" s="1"/>
      <c r="G219" s="24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" x14ac:dyDescent="0.2">
      <c r="A220" s="40"/>
      <c r="B220" s="29"/>
      <c r="C220" s="1"/>
      <c r="D220" s="1"/>
      <c r="E220" s="1"/>
      <c r="F220" s="1"/>
      <c r="G220" s="24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" x14ac:dyDescent="0.2">
      <c r="A221" s="40"/>
      <c r="B221" s="29"/>
      <c r="C221" s="1"/>
      <c r="D221" s="1"/>
      <c r="E221" s="1"/>
      <c r="F221" s="1"/>
      <c r="G221" s="24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" x14ac:dyDescent="0.2">
      <c r="A222" s="40"/>
      <c r="B222" s="29"/>
      <c r="C222" s="1"/>
      <c r="D222" s="1"/>
      <c r="E222" s="1"/>
      <c r="F222" s="1"/>
      <c r="G222" s="24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" x14ac:dyDescent="0.2">
      <c r="A223" s="40"/>
      <c r="B223" s="29"/>
      <c r="C223" s="1"/>
      <c r="D223" s="1"/>
      <c r="E223" s="1"/>
      <c r="F223" s="1"/>
      <c r="G223" s="24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" x14ac:dyDescent="0.2">
      <c r="A224" s="40"/>
      <c r="B224" s="29"/>
      <c r="C224" s="1"/>
      <c r="D224" s="1"/>
      <c r="E224" s="1"/>
      <c r="F224" s="1"/>
      <c r="G224" s="24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" x14ac:dyDescent="0.2">
      <c r="A225" s="40"/>
      <c r="B225" s="29"/>
      <c r="C225" s="1"/>
      <c r="D225" s="1"/>
      <c r="E225" s="1"/>
      <c r="F225" s="1"/>
      <c r="G225" s="24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" x14ac:dyDescent="0.2">
      <c r="A226" s="40"/>
      <c r="B226" s="29"/>
      <c r="C226" s="1"/>
      <c r="D226" s="1"/>
      <c r="E226" s="1"/>
      <c r="F226" s="1"/>
      <c r="G226" s="24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" x14ac:dyDescent="0.2">
      <c r="A227" s="40"/>
      <c r="B227" s="29"/>
      <c r="C227" s="1"/>
      <c r="D227" s="1"/>
      <c r="E227" s="1"/>
      <c r="F227" s="1"/>
      <c r="G227" s="24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" x14ac:dyDescent="0.2">
      <c r="A228" s="40"/>
      <c r="B228" s="29"/>
      <c r="C228" s="1"/>
      <c r="D228" s="1"/>
      <c r="E228" s="1"/>
      <c r="F228" s="1"/>
      <c r="G228" s="24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" x14ac:dyDescent="0.2">
      <c r="A229" s="40"/>
      <c r="B229" s="29"/>
      <c r="C229" s="1"/>
      <c r="D229" s="1"/>
      <c r="E229" s="1"/>
      <c r="F229" s="1"/>
      <c r="G229" s="24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" x14ac:dyDescent="0.2">
      <c r="A230" s="40"/>
      <c r="B230" s="29"/>
      <c r="C230" s="1"/>
      <c r="D230" s="1"/>
      <c r="E230" s="1"/>
      <c r="F230" s="1"/>
      <c r="G230" s="24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" x14ac:dyDescent="0.2">
      <c r="A231" s="40"/>
      <c r="B231" s="29"/>
      <c r="C231" s="1"/>
      <c r="D231" s="1"/>
      <c r="E231" s="1"/>
      <c r="F231" s="1"/>
      <c r="G231" s="24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" x14ac:dyDescent="0.2">
      <c r="A232" s="40"/>
      <c r="B232" s="29"/>
      <c r="C232" s="1"/>
      <c r="D232" s="1"/>
      <c r="E232" s="1"/>
      <c r="F232" s="1"/>
      <c r="G232" s="24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" x14ac:dyDescent="0.2">
      <c r="A233" s="40"/>
      <c r="B233" s="29"/>
      <c r="C233" s="1"/>
      <c r="D233" s="1"/>
      <c r="E233" s="1"/>
      <c r="F233" s="1"/>
      <c r="G233" s="24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" x14ac:dyDescent="0.2">
      <c r="A234" s="40"/>
      <c r="B234" s="29"/>
      <c r="C234" s="1"/>
      <c r="D234" s="1"/>
      <c r="E234" s="1"/>
      <c r="F234" s="1"/>
      <c r="G234" s="24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" x14ac:dyDescent="0.2">
      <c r="A235" s="40"/>
      <c r="B235" s="29"/>
      <c r="C235" s="1"/>
      <c r="D235" s="1"/>
      <c r="E235" s="1"/>
      <c r="F235" s="1"/>
      <c r="G235" s="24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" x14ac:dyDescent="0.2">
      <c r="A236" s="40"/>
      <c r="B236" s="29"/>
      <c r="C236" s="1"/>
      <c r="D236" s="1"/>
      <c r="E236" s="1"/>
      <c r="F236" s="1"/>
      <c r="G236" s="24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" x14ac:dyDescent="0.2">
      <c r="A237" s="40"/>
      <c r="B237" s="29"/>
      <c r="C237" s="1"/>
      <c r="D237" s="1"/>
      <c r="E237" s="1"/>
      <c r="F237" s="1"/>
      <c r="G237" s="24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" x14ac:dyDescent="0.2">
      <c r="A238" s="40"/>
      <c r="B238" s="29"/>
      <c r="C238" s="1"/>
      <c r="D238" s="1"/>
      <c r="E238" s="1"/>
      <c r="F238" s="1"/>
      <c r="G238" s="24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" x14ac:dyDescent="0.2">
      <c r="A239" s="40"/>
      <c r="B239" s="29"/>
      <c r="C239" s="1"/>
      <c r="D239" s="1"/>
      <c r="E239" s="1"/>
      <c r="F239" s="1"/>
      <c r="G239" s="24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" x14ac:dyDescent="0.2">
      <c r="A240" s="40"/>
      <c r="B240" s="29"/>
      <c r="C240" s="1"/>
      <c r="D240" s="1"/>
      <c r="E240" s="1"/>
      <c r="F240" s="1"/>
      <c r="G240" s="24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" x14ac:dyDescent="0.2">
      <c r="A241" s="40"/>
      <c r="B241" s="29"/>
      <c r="C241" s="1"/>
      <c r="D241" s="1"/>
      <c r="E241" s="1"/>
      <c r="F241" s="1"/>
      <c r="G241" s="24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" x14ac:dyDescent="0.2">
      <c r="A242" s="40"/>
      <c r="B242" s="29"/>
      <c r="C242" s="1"/>
      <c r="D242" s="1"/>
      <c r="E242" s="1"/>
      <c r="F242" s="1"/>
      <c r="G242" s="24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" x14ac:dyDescent="0.2">
      <c r="A243" s="40"/>
      <c r="B243" s="29"/>
      <c r="C243" s="1"/>
      <c r="D243" s="1"/>
      <c r="E243" s="1"/>
      <c r="F243" s="1"/>
      <c r="G243" s="24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" x14ac:dyDescent="0.2">
      <c r="A244" s="40"/>
      <c r="B244" s="29"/>
      <c r="C244" s="1"/>
      <c r="D244" s="1"/>
      <c r="E244" s="1"/>
      <c r="F244" s="1"/>
      <c r="G244" s="24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" x14ac:dyDescent="0.2">
      <c r="A245" s="40"/>
      <c r="B245" s="29"/>
      <c r="C245" s="1"/>
      <c r="D245" s="1"/>
      <c r="E245" s="1"/>
      <c r="F245" s="1"/>
      <c r="G245" s="24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" x14ac:dyDescent="0.2">
      <c r="A246" s="40"/>
      <c r="B246" s="29"/>
      <c r="C246" s="1"/>
      <c r="D246" s="1"/>
      <c r="E246" s="1"/>
      <c r="F246" s="1"/>
      <c r="G246" s="24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" x14ac:dyDescent="0.2">
      <c r="A247" s="40"/>
      <c r="B247" s="29"/>
      <c r="C247" s="1"/>
      <c r="D247" s="1"/>
      <c r="E247" s="1"/>
      <c r="F247" s="1"/>
      <c r="G247" s="24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" x14ac:dyDescent="0.2">
      <c r="A248" s="40"/>
      <c r="B248" s="29"/>
      <c r="C248" s="1"/>
      <c r="D248" s="1"/>
      <c r="E248" s="1"/>
      <c r="F248" s="1"/>
      <c r="G248" s="24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" x14ac:dyDescent="0.2">
      <c r="A249" s="40"/>
      <c r="B249" s="29"/>
      <c r="C249" s="1"/>
      <c r="D249" s="1"/>
      <c r="E249" s="1"/>
      <c r="F249" s="1"/>
      <c r="G249" s="24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" x14ac:dyDescent="0.2">
      <c r="A250" s="40"/>
      <c r="B250" s="29"/>
      <c r="C250" s="1"/>
      <c r="D250" s="1"/>
      <c r="E250" s="1"/>
      <c r="F250" s="1"/>
      <c r="G250" s="24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" x14ac:dyDescent="0.2">
      <c r="A251" s="40"/>
      <c r="B251" s="29"/>
      <c r="C251" s="1"/>
      <c r="D251" s="1"/>
      <c r="E251" s="1"/>
      <c r="F251" s="1"/>
      <c r="G251" s="24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" x14ac:dyDescent="0.2">
      <c r="A252" s="40"/>
      <c r="B252" s="29"/>
      <c r="C252" s="1"/>
      <c r="D252" s="1"/>
      <c r="E252" s="1"/>
      <c r="F252" s="1"/>
      <c r="G252" s="24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" x14ac:dyDescent="0.2">
      <c r="A253" s="40"/>
      <c r="B253" s="29"/>
      <c r="C253" s="1"/>
      <c r="D253" s="1"/>
      <c r="E253" s="1"/>
      <c r="F253" s="1"/>
      <c r="G253" s="24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" x14ac:dyDescent="0.2">
      <c r="A254" s="40"/>
      <c r="B254" s="29"/>
      <c r="C254" s="1"/>
      <c r="D254" s="1"/>
      <c r="E254" s="1"/>
      <c r="F254" s="1"/>
      <c r="G254" s="24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" x14ac:dyDescent="0.2">
      <c r="A255" s="40"/>
      <c r="B255" s="29"/>
      <c r="C255" s="1"/>
      <c r="D255" s="1"/>
      <c r="E255" s="1"/>
      <c r="F255" s="1"/>
      <c r="G255" s="24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" x14ac:dyDescent="0.2">
      <c r="A256" s="40"/>
      <c r="B256" s="29"/>
      <c r="C256" s="1"/>
      <c r="D256" s="1"/>
      <c r="E256" s="1"/>
      <c r="F256" s="1"/>
      <c r="G256" s="24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" x14ac:dyDescent="0.2">
      <c r="A257" s="40"/>
      <c r="B257" s="29"/>
      <c r="C257" s="1"/>
      <c r="D257" s="1"/>
      <c r="E257" s="1"/>
      <c r="F257" s="1"/>
      <c r="G257" s="24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" x14ac:dyDescent="0.2">
      <c r="A258" s="40"/>
      <c r="B258" s="29"/>
      <c r="C258" s="1"/>
      <c r="D258" s="1"/>
      <c r="E258" s="1"/>
      <c r="F258" s="1"/>
      <c r="G258" s="24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" x14ac:dyDescent="0.2">
      <c r="A259" s="40"/>
      <c r="B259" s="29"/>
      <c r="C259" s="1"/>
      <c r="D259" s="1"/>
      <c r="E259" s="1"/>
      <c r="F259" s="1"/>
      <c r="G259" s="24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" x14ac:dyDescent="0.2">
      <c r="A260" s="40"/>
      <c r="B260" s="29"/>
      <c r="C260" s="1"/>
      <c r="D260" s="1"/>
      <c r="E260" s="1"/>
      <c r="F260" s="1"/>
      <c r="G260" s="24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" x14ac:dyDescent="0.2">
      <c r="A261" s="40"/>
      <c r="B261" s="29"/>
      <c r="C261" s="1"/>
      <c r="D261" s="1"/>
      <c r="E261" s="1"/>
      <c r="F261" s="1"/>
      <c r="G261" s="24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" x14ac:dyDescent="0.2">
      <c r="A262" s="40"/>
      <c r="B262" s="29"/>
      <c r="C262" s="1"/>
      <c r="D262" s="1"/>
      <c r="E262" s="1"/>
      <c r="F262" s="1"/>
      <c r="G262" s="24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" x14ac:dyDescent="0.2">
      <c r="A263" s="40"/>
      <c r="B263" s="29"/>
      <c r="C263" s="1"/>
      <c r="D263" s="1"/>
      <c r="E263" s="1"/>
      <c r="F263" s="1"/>
      <c r="G263" s="24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" x14ac:dyDescent="0.2">
      <c r="A264" s="40"/>
      <c r="B264" s="29"/>
      <c r="C264" s="1"/>
      <c r="D264" s="1"/>
      <c r="E264" s="1"/>
      <c r="F264" s="1"/>
      <c r="G264" s="24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" x14ac:dyDescent="0.2">
      <c r="A265" s="40"/>
      <c r="B265" s="29"/>
      <c r="C265" s="1"/>
      <c r="D265" s="1"/>
      <c r="E265" s="1"/>
      <c r="F265" s="1"/>
      <c r="G265" s="24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" x14ac:dyDescent="0.2">
      <c r="A266" s="40"/>
      <c r="B266" s="29"/>
      <c r="C266" s="1"/>
      <c r="D266" s="1"/>
      <c r="E266" s="1"/>
      <c r="F266" s="1"/>
      <c r="G266" s="24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" x14ac:dyDescent="0.2">
      <c r="A267" s="40"/>
      <c r="B267" s="29"/>
      <c r="C267" s="1"/>
      <c r="D267" s="1"/>
      <c r="E267" s="1"/>
      <c r="F267" s="1"/>
      <c r="G267" s="24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" x14ac:dyDescent="0.2">
      <c r="A268" s="40"/>
      <c r="B268" s="29"/>
      <c r="C268" s="1"/>
      <c r="D268" s="1"/>
      <c r="E268" s="1"/>
      <c r="F268" s="1"/>
      <c r="G268" s="24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" x14ac:dyDescent="0.2">
      <c r="A269" s="40"/>
      <c r="B269" s="29"/>
      <c r="C269" s="1"/>
      <c r="D269" s="1"/>
      <c r="E269" s="1"/>
      <c r="F269" s="1"/>
      <c r="G269" s="24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" x14ac:dyDescent="0.2">
      <c r="A270" s="40"/>
      <c r="B270" s="29"/>
      <c r="C270" s="1"/>
      <c r="D270" s="1"/>
      <c r="E270" s="1"/>
      <c r="F270" s="1"/>
      <c r="G270" s="24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" x14ac:dyDescent="0.2">
      <c r="A271" s="40"/>
      <c r="B271" s="29"/>
      <c r="C271" s="1"/>
      <c r="D271" s="1"/>
      <c r="E271" s="1"/>
      <c r="F271" s="1"/>
      <c r="G271" s="24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" x14ac:dyDescent="0.2">
      <c r="A272" s="40"/>
      <c r="B272" s="29"/>
      <c r="C272" s="1"/>
      <c r="D272" s="1"/>
      <c r="E272" s="1"/>
      <c r="F272" s="1"/>
      <c r="G272" s="24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" x14ac:dyDescent="0.2">
      <c r="A273" s="40"/>
      <c r="B273" s="29"/>
      <c r="C273" s="1"/>
      <c r="D273" s="1"/>
      <c r="E273" s="1"/>
      <c r="F273" s="1"/>
      <c r="G273" s="2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" x14ac:dyDescent="0.2">
      <c r="A274" s="40"/>
      <c r="B274" s="29"/>
      <c r="C274" s="1"/>
      <c r="D274" s="1"/>
      <c r="E274" s="1"/>
      <c r="F274" s="1"/>
      <c r="G274" s="2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" x14ac:dyDescent="0.2">
      <c r="A275" s="40"/>
      <c r="B275" s="29"/>
      <c r="C275" s="1"/>
      <c r="D275" s="1"/>
      <c r="E275" s="1"/>
      <c r="F275" s="1"/>
      <c r="G275" s="24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" x14ac:dyDescent="0.2">
      <c r="A276" s="40"/>
      <c r="B276" s="29"/>
      <c r="C276" s="1"/>
      <c r="D276" s="1"/>
      <c r="E276" s="1"/>
      <c r="F276" s="1"/>
      <c r="G276" s="24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" x14ac:dyDescent="0.2">
      <c r="A277" s="40"/>
      <c r="B277" s="29"/>
      <c r="C277" s="1"/>
      <c r="D277" s="1"/>
      <c r="E277" s="1"/>
      <c r="F277" s="1"/>
      <c r="G277" s="24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" x14ac:dyDescent="0.2">
      <c r="A278" s="40"/>
      <c r="B278" s="29"/>
      <c r="C278" s="1"/>
      <c r="D278" s="1"/>
      <c r="E278" s="1"/>
      <c r="F278" s="1"/>
      <c r="G278" s="24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" x14ac:dyDescent="0.2">
      <c r="A279" s="40"/>
      <c r="B279" s="29"/>
      <c r="C279" s="1"/>
      <c r="D279" s="1"/>
      <c r="E279" s="1"/>
      <c r="F279" s="1"/>
      <c r="G279" s="24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" x14ac:dyDescent="0.2">
      <c r="A280" s="40"/>
      <c r="B280" s="29"/>
      <c r="C280" s="1"/>
      <c r="D280" s="1"/>
      <c r="E280" s="1"/>
      <c r="F280" s="1"/>
      <c r="G280" s="24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" x14ac:dyDescent="0.2">
      <c r="A281" s="40"/>
      <c r="B281" s="29"/>
      <c r="C281" s="1"/>
      <c r="D281" s="1"/>
      <c r="E281" s="1"/>
      <c r="F281" s="1"/>
      <c r="G281" s="24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" x14ac:dyDescent="0.2">
      <c r="A282" s="40"/>
      <c r="B282" s="29"/>
      <c r="C282" s="1"/>
      <c r="D282" s="1"/>
      <c r="E282" s="1"/>
      <c r="F282" s="1"/>
      <c r="G282" s="24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" x14ac:dyDescent="0.2">
      <c r="A283" s="40"/>
      <c r="B283" s="29"/>
      <c r="C283" s="1"/>
      <c r="D283" s="1"/>
      <c r="E283" s="1"/>
      <c r="F283" s="1"/>
      <c r="G283" s="24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" x14ac:dyDescent="0.2">
      <c r="A284" s="40"/>
      <c r="B284" s="29"/>
      <c r="C284" s="1"/>
      <c r="D284" s="1"/>
      <c r="E284" s="1"/>
      <c r="F284" s="1"/>
      <c r="G284" s="24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" x14ac:dyDescent="0.2">
      <c r="A285" s="40"/>
      <c r="B285" s="29"/>
      <c r="C285" s="1"/>
      <c r="D285" s="1"/>
      <c r="E285" s="1"/>
      <c r="F285" s="1"/>
      <c r="G285" s="24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" x14ac:dyDescent="0.2">
      <c r="A286" s="40"/>
      <c r="B286" s="29"/>
      <c r="C286" s="1"/>
      <c r="D286" s="1"/>
      <c r="E286" s="1"/>
      <c r="F286" s="1"/>
      <c r="G286" s="24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" x14ac:dyDescent="0.2">
      <c r="A287" s="40"/>
      <c r="B287" s="29"/>
      <c r="C287" s="1"/>
      <c r="D287" s="1"/>
      <c r="E287" s="1"/>
      <c r="F287" s="1"/>
      <c r="G287" s="24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" x14ac:dyDescent="0.2">
      <c r="A288" s="40"/>
      <c r="B288" s="29"/>
      <c r="C288" s="1"/>
      <c r="D288" s="1"/>
      <c r="E288" s="1"/>
      <c r="F288" s="1"/>
      <c r="G288" s="24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" x14ac:dyDescent="0.2">
      <c r="A289" s="40"/>
      <c r="B289" s="29"/>
      <c r="C289" s="1"/>
      <c r="D289" s="1"/>
      <c r="E289" s="1"/>
      <c r="F289" s="1"/>
      <c r="G289" s="24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" x14ac:dyDescent="0.2">
      <c r="A290" s="40"/>
      <c r="B290" s="29"/>
      <c r="C290" s="1"/>
      <c r="D290" s="1"/>
      <c r="E290" s="1"/>
      <c r="F290" s="1"/>
      <c r="G290" s="24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" x14ac:dyDescent="0.2">
      <c r="A291" s="40"/>
      <c r="B291" s="29"/>
      <c r="C291" s="1"/>
      <c r="D291" s="1"/>
      <c r="E291" s="1"/>
      <c r="F291" s="1"/>
      <c r="G291" s="24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" x14ac:dyDescent="0.2">
      <c r="A292" s="40"/>
      <c r="B292" s="29"/>
      <c r="C292" s="1"/>
      <c r="D292" s="1"/>
      <c r="E292" s="1"/>
      <c r="F292" s="1"/>
      <c r="G292" s="24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" x14ac:dyDescent="0.2">
      <c r="A293" s="40"/>
      <c r="B293" s="29"/>
      <c r="C293" s="1"/>
      <c r="D293" s="1"/>
      <c r="E293" s="1"/>
      <c r="F293" s="1"/>
      <c r="G293" s="24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" x14ac:dyDescent="0.2">
      <c r="A294" s="40"/>
      <c r="B294" s="29"/>
      <c r="C294" s="1"/>
      <c r="D294" s="1"/>
      <c r="E294" s="1"/>
      <c r="F294" s="1"/>
      <c r="G294" s="24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" x14ac:dyDescent="0.2">
      <c r="A295" s="40"/>
      <c r="B295" s="29"/>
      <c r="C295" s="1"/>
      <c r="D295" s="1"/>
      <c r="E295" s="1"/>
      <c r="F295" s="1"/>
      <c r="G295" s="24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" x14ac:dyDescent="0.2">
      <c r="A296" s="40"/>
      <c r="B296" s="29"/>
      <c r="C296" s="1"/>
      <c r="D296" s="1"/>
      <c r="E296" s="1"/>
      <c r="F296" s="1"/>
      <c r="G296" s="24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" x14ac:dyDescent="0.2">
      <c r="A297" s="40"/>
      <c r="B297" s="29"/>
      <c r="C297" s="1"/>
      <c r="D297" s="1"/>
      <c r="E297" s="1"/>
      <c r="F297" s="1"/>
      <c r="G297" s="24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" x14ac:dyDescent="0.2">
      <c r="A298" s="40"/>
      <c r="B298" s="29"/>
      <c r="C298" s="1"/>
      <c r="D298" s="1"/>
      <c r="E298" s="1"/>
      <c r="F298" s="1"/>
      <c r="G298" s="24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" x14ac:dyDescent="0.2">
      <c r="A299" s="40"/>
      <c r="B299" s="29"/>
      <c r="C299" s="1"/>
      <c r="D299" s="1"/>
      <c r="E299" s="1"/>
      <c r="F299" s="1"/>
      <c r="G299" s="24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" x14ac:dyDescent="0.2">
      <c r="A300" s="40"/>
      <c r="B300" s="29"/>
      <c r="C300" s="1"/>
      <c r="D300" s="1"/>
      <c r="E300" s="1"/>
      <c r="F300" s="1"/>
      <c r="G300" s="24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" x14ac:dyDescent="0.2">
      <c r="A301" s="40"/>
      <c r="B301" s="29"/>
      <c r="C301" s="1"/>
      <c r="D301" s="1"/>
      <c r="E301" s="1"/>
      <c r="F301" s="1"/>
      <c r="G301" s="24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" x14ac:dyDescent="0.2">
      <c r="A302" s="40"/>
      <c r="B302" s="29"/>
      <c r="C302" s="1"/>
      <c r="D302" s="1"/>
      <c r="E302" s="1"/>
      <c r="F302" s="1"/>
      <c r="G302" s="24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" x14ac:dyDescent="0.2">
      <c r="A303" s="40"/>
      <c r="B303" s="29"/>
      <c r="C303" s="1"/>
      <c r="D303" s="1"/>
      <c r="E303" s="1"/>
      <c r="F303" s="1"/>
      <c r="G303" s="24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" x14ac:dyDescent="0.2">
      <c r="A304" s="40"/>
      <c r="B304" s="29"/>
      <c r="C304" s="1"/>
      <c r="D304" s="1"/>
      <c r="E304" s="1"/>
      <c r="F304" s="1"/>
      <c r="G304" s="24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" x14ac:dyDescent="0.2">
      <c r="A305" s="40"/>
      <c r="B305" s="29"/>
      <c r="C305" s="1"/>
      <c r="D305" s="1"/>
      <c r="E305" s="1"/>
      <c r="F305" s="1"/>
      <c r="G305" s="24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" x14ac:dyDescent="0.2">
      <c r="A306" s="40"/>
      <c r="B306" s="29"/>
      <c r="C306" s="1"/>
      <c r="D306" s="1"/>
      <c r="E306" s="1"/>
      <c r="F306" s="1"/>
      <c r="G306" s="2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" x14ac:dyDescent="0.2">
      <c r="A307" s="40"/>
      <c r="B307" s="29"/>
      <c r="C307" s="1"/>
      <c r="D307" s="1"/>
      <c r="E307" s="1"/>
      <c r="F307" s="1"/>
      <c r="G307" s="2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" x14ac:dyDescent="0.2">
      <c r="A308" s="40"/>
      <c r="B308" s="29"/>
      <c r="C308" s="1"/>
      <c r="D308" s="1"/>
      <c r="E308" s="1"/>
      <c r="F308" s="1"/>
      <c r="G308" s="24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" x14ac:dyDescent="0.2">
      <c r="A309" s="40"/>
      <c r="B309" s="29"/>
      <c r="C309" s="1"/>
      <c r="D309" s="1"/>
      <c r="E309" s="1"/>
      <c r="F309" s="1"/>
      <c r="G309" s="24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" x14ac:dyDescent="0.2">
      <c r="A310" s="40"/>
      <c r="B310" s="29"/>
      <c r="C310" s="1"/>
      <c r="D310" s="1"/>
      <c r="E310" s="1"/>
      <c r="F310" s="1"/>
      <c r="G310" s="24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" x14ac:dyDescent="0.2">
      <c r="A311" s="40"/>
      <c r="B311" s="29"/>
      <c r="C311" s="1"/>
      <c r="D311" s="1"/>
      <c r="E311" s="1"/>
      <c r="F311" s="1"/>
      <c r="G311" s="24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" x14ac:dyDescent="0.2">
      <c r="A312" s="40"/>
      <c r="B312" s="29"/>
      <c r="C312" s="1"/>
      <c r="D312" s="1"/>
      <c r="E312" s="1"/>
      <c r="F312" s="1"/>
      <c r="G312" s="24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" x14ac:dyDescent="0.2">
      <c r="A313" s="40"/>
      <c r="B313" s="29"/>
      <c r="C313" s="1"/>
      <c r="D313" s="1"/>
      <c r="E313" s="1"/>
      <c r="F313" s="1"/>
      <c r="G313" s="24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" x14ac:dyDescent="0.2">
      <c r="A314" s="40"/>
      <c r="B314" s="29"/>
      <c r="C314" s="1"/>
      <c r="D314" s="1"/>
      <c r="E314" s="1"/>
      <c r="F314" s="1"/>
      <c r="G314" s="24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" x14ac:dyDescent="0.2">
      <c r="A315" s="40"/>
      <c r="B315" s="29"/>
      <c r="C315" s="1"/>
      <c r="D315" s="1"/>
      <c r="E315" s="1"/>
      <c r="F315" s="1"/>
      <c r="G315" s="24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" x14ac:dyDescent="0.2">
      <c r="A316" s="40"/>
      <c r="B316" s="29"/>
      <c r="C316" s="1"/>
      <c r="D316" s="1"/>
      <c r="E316" s="1"/>
      <c r="F316" s="1"/>
      <c r="G316" s="24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" x14ac:dyDescent="0.2">
      <c r="A317" s="40"/>
      <c r="B317" s="29"/>
      <c r="C317" s="1"/>
      <c r="D317" s="1"/>
      <c r="E317" s="1"/>
      <c r="F317" s="1"/>
      <c r="G317" s="24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" x14ac:dyDescent="0.2">
      <c r="A318" s="40"/>
      <c r="B318" s="29"/>
      <c r="C318" s="1"/>
      <c r="D318" s="1"/>
      <c r="E318" s="1"/>
      <c r="F318" s="1"/>
      <c r="G318" s="24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" x14ac:dyDescent="0.2">
      <c r="A319" s="40"/>
      <c r="B319" s="29"/>
      <c r="C319" s="1"/>
      <c r="D319" s="1"/>
      <c r="E319" s="1"/>
      <c r="F319" s="1"/>
      <c r="G319" s="24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" x14ac:dyDescent="0.2">
      <c r="A320" s="40"/>
      <c r="B320" s="29"/>
      <c r="C320" s="1"/>
      <c r="D320" s="1"/>
      <c r="E320" s="1"/>
      <c r="F320" s="1"/>
      <c r="G320" s="24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" x14ac:dyDescent="0.2">
      <c r="A321" s="40"/>
      <c r="B321" s="29"/>
      <c r="C321" s="1"/>
      <c r="D321" s="1"/>
      <c r="E321" s="1"/>
      <c r="F321" s="1"/>
      <c r="G321" s="24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" x14ac:dyDescent="0.2">
      <c r="A322" s="40"/>
      <c r="B322" s="29"/>
      <c r="C322" s="1"/>
      <c r="D322" s="1"/>
      <c r="E322" s="1"/>
      <c r="F322" s="1"/>
      <c r="G322" s="24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" x14ac:dyDescent="0.2">
      <c r="A323" s="40"/>
      <c r="B323" s="29"/>
      <c r="C323" s="1"/>
      <c r="D323" s="1"/>
      <c r="E323" s="1"/>
      <c r="F323" s="1"/>
      <c r="G323" s="24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" x14ac:dyDescent="0.2">
      <c r="A324" s="40"/>
      <c r="B324" s="29"/>
      <c r="C324" s="1"/>
      <c r="D324" s="1"/>
      <c r="E324" s="1"/>
      <c r="F324" s="1"/>
      <c r="G324" s="24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" x14ac:dyDescent="0.2">
      <c r="A325" s="40"/>
      <c r="B325" s="29"/>
      <c r="C325" s="1"/>
      <c r="D325" s="1"/>
      <c r="E325" s="1"/>
      <c r="F325" s="1"/>
      <c r="G325" s="24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" x14ac:dyDescent="0.2">
      <c r="A326" s="40"/>
      <c r="B326" s="29"/>
      <c r="C326" s="1"/>
      <c r="D326" s="1"/>
      <c r="E326" s="1"/>
      <c r="F326" s="1"/>
      <c r="G326" s="24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" x14ac:dyDescent="0.2">
      <c r="A327" s="40"/>
      <c r="B327" s="29"/>
      <c r="C327" s="1"/>
      <c r="D327" s="1"/>
      <c r="E327" s="1"/>
      <c r="F327" s="1"/>
      <c r="G327" s="24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" x14ac:dyDescent="0.2">
      <c r="A328" s="40"/>
      <c r="B328" s="29"/>
      <c r="C328" s="1"/>
      <c r="D328" s="1"/>
      <c r="E328" s="1"/>
      <c r="F328" s="1"/>
      <c r="G328" s="24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" x14ac:dyDescent="0.2">
      <c r="A329" s="40"/>
      <c r="B329" s="29"/>
      <c r="C329" s="1"/>
      <c r="D329" s="1"/>
      <c r="E329" s="1"/>
      <c r="F329" s="1"/>
      <c r="G329" s="24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" x14ac:dyDescent="0.2">
      <c r="A330" s="40"/>
      <c r="B330" s="29"/>
      <c r="C330" s="1"/>
      <c r="D330" s="1"/>
      <c r="E330" s="1"/>
      <c r="F330" s="1"/>
      <c r="G330" s="24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" x14ac:dyDescent="0.2">
      <c r="A331" s="40"/>
      <c r="B331" s="29"/>
      <c r="C331" s="1"/>
      <c r="D331" s="1"/>
      <c r="E331" s="1"/>
      <c r="F331" s="1"/>
      <c r="G331" s="24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" x14ac:dyDescent="0.2">
      <c r="A332" s="40"/>
      <c r="B332" s="29"/>
      <c r="C332" s="1"/>
      <c r="D332" s="1"/>
      <c r="E332" s="1"/>
      <c r="F332" s="1"/>
      <c r="G332" s="24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" x14ac:dyDescent="0.2">
      <c r="A333" s="40"/>
      <c r="B333" s="29"/>
      <c r="C333" s="1"/>
      <c r="D333" s="1"/>
      <c r="E333" s="1"/>
      <c r="F333" s="1"/>
      <c r="G333" s="24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" x14ac:dyDescent="0.2">
      <c r="A334" s="40"/>
      <c r="B334" s="29"/>
      <c r="C334" s="1"/>
      <c r="D334" s="1"/>
      <c r="E334" s="1"/>
      <c r="F334" s="1"/>
      <c r="G334" s="24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" x14ac:dyDescent="0.2">
      <c r="A335" s="40"/>
      <c r="B335" s="29"/>
      <c r="C335" s="1"/>
      <c r="D335" s="1"/>
      <c r="E335" s="1"/>
      <c r="F335" s="1"/>
      <c r="G335" s="24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" x14ac:dyDescent="0.2">
      <c r="A336" s="40"/>
      <c r="B336" s="29"/>
      <c r="C336" s="1"/>
      <c r="D336" s="1"/>
      <c r="E336" s="1"/>
      <c r="F336" s="1"/>
      <c r="G336" s="24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" x14ac:dyDescent="0.2">
      <c r="A337" s="40"/>
      <c r="B337" s="29"/>
      <c r="C337" s="1"/>
      <c r="D337" s="1"/>
      <c r="E337" s="1"/>
      <c r="F337" s="1"/>
      <c r="G337" s="24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" x14ac:dyDescent="0.2">
      <c r="A338" s="40"/>
      <c r="B338" s="29"/>
      <c r="C338" s="1"/>
      <c r="D338" s="1"/>
      <c r="E338" s="1"/>
      <c r="F338" s="1"/>
      <c r="G338" s="24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" x14ac:dyDescent="0.2">
      <c r="A339" s="40"/>
      <c r="B339" s="29"/>
      <c r="C339" s="1"/>
      <c r="D339" s="1"/>
      <c r="E339" s="1"/>
      <c r="F339" s="1"/>
      <c r="G339" s="24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" x14ac:dyDescent="0.2">
      <c r="A340" s="40"/>
      <c r="B340" s="29"/>
      <c r="C340" s="1"/>
      <c r="D340" s="1"/>
      <c r="E340" s="1"/>
      <c r="F340" s="1"/>
      <c r="G340" s="2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" x14ac:dyDescent="0.2">
      <c r="A341" s="40"/>
      <c r="B341" s="29"/>
      <c r="C341" s="1"/>
      <c r="D341" s="1"/>
      <c r="E341" s="1"/>
      <c r="F341" s="1"/>
      <c r="G341" s="2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" x14ac:dyDescent="0.2">
      <c r="A342" s="40"/>
      <c r="B342" s="29"/>
      <c r="C342" s="1"/>
      <c r="D342" s="1"/>
      <c r="E342" s="1"/>
      <c r="F342" s="1"/>
      <c r="G342" s="24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" x14ac:dyDescent="0.2">
      <c r="A343" s="40"/>
      <c r="B343" s="29"/>
      <c r="C343" s="1"/>
      <c r="D343" s="1"/>
      <c r="E343" s="1"/>
      <c r="F343" s="1"/>
      <c r="G343" s="24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" x14ac:dyDescent="0.2">
      <c r="A344" s="40"/>
      <c r="B344" s="29"/>
      <c r="C344" s="1"/>
      <c r="D344" s="1"/>
      <c r="E344" s="1"/>
      <c r="F344" s="1"/>
      <c r="G344" s="24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" x14ac:dyDescent="0.2">
      <c r="A345" s="40"/>
      <c r="B345" s="29"/>
      <c r="C345" s="1"/>
      <c r="D345" s="1"/>
      <c r="E345" s="1"/>
      <c r="F345" s="1"/>
      <c r="G345" s="24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" x14ac:dyDescent="0.2">
      <c r="A346" s="40"/>
      <c r="B346" s="29"/>
      <c r="C346" s="1"/>
      <c r="D346" s="1"/>
      <c r="E346" s="1"/>
      <c r="F346" s="1"/>
      <c r="G346" s="24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" x14ac:dyDescent="0.2">
      <c r="A347" s="40"/>
      <c r="B347" s="29"/>
      <c r="C347" s="1"/>
      <c r="D347" s="1"/>
      <c r="E347" s="1"/>
      <c r="F347" s="1"/>
      <c r="G347" s="24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" x14ac:dyDescent="0.2">
      <c r="A348" s="40"/>
      <c r="B348" s="29"/>
      <c r="C348" s="1"/>
      <c r="D348" s="1"/>
      <c r="E348" s="1"/>
      <c r="F348" s="1"/>
      <c r="G348" s="24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" x14ac:dyDescent="0.2">
      <c r="A349" s="40"/>
      <c r="B349" s="29"/>
      <c r="C349" s="1"/>
      <c r="D349" s="1"/>
      <c r="E349" s="1"/>
      <c r="F349" s="1"/>
      <c r="G349" s="24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" x14ac:dyDescent="0.2">
      <c r="A350" s="40"/>
      <c r="B350" s="29"/>
      <c r="C350" s="1"/>
      <c r="D350" s="1"/>
      <c r="E350" s="1"/>
      <c r="F350" s="1"/>
      <c r="G350" s="24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" x14ac:dyDescent="0.2">
      <c r="A351" s="40"/>
      <c r="B351" s="29"/>
      <c r="C351" s="1"/>
      <c r="D351" s="1"/>
      <c r="E351" s="1"/>
      <c r="F351" s="1"/>
      <c r="G351" s="24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" x14ac:dyDescent="0.2">
      <c r="A352" s="40"/>
      <c r="B352" s="29"/>
      <c r="C352" s="1"/>
      <c r="D352" s="1"/>
      <c r="E352" s="1"/>
      <c r="F352" s="1"/>
      <c r="G352" s="24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" x14ac:dyDescent="0.2">
      <c r="A353" s="40"/>
      <c r="B353" s="29"/>
      <c r="C353" s="1"/>
      <c r="D353" s="1"/>
      <c r="E353" s="1"/>
      <c r="F353" s="1"/>
      <c r="G353" s="24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" x14ac:dyDescent="0.2">
      <c r="A354" s="40"/>
      <c r="B354" s="29"/>
      <c r="C354" s="1"/>
      <c r="D354" s="1"/>
      <c r="E354" s="1"/>
      <c r="F354" s="1"/>
      <c r="G354" s="24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" x14ac:dyDescent="0.2">
      <c r="A355" s="40"/>
      <c r="B355" s="29"/>
      <c r="C355" s="1"/>
      <c r="D355" s="1"/>
      <c r="E355" s="1"/>
      <c r="F355" s="1"/>
      <c r="G355" s="24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" x14ac:dyDescent="0.2">
      <c r="A356" s="40"/>
      <c r="B356" s="29"/>
      <c r="C356" s="1"/>
      <c r="D356" s="1"/>
      <c r="E356" s="1"/>
      <c r="F356" s="1"/>
      <c r="G356" s="24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" x14ac:dyDescent="0.2">
      <c r="A357" s="40"/>
      <c r="B357" s="29"/>
      <c r="C357" s="1"/>
      <c r="D357" s="1"/>
      <c r="E357" s="1"/>
      <c r="F357" s="1"/>
      <c r="G357" s="24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" x14ac:dyDescent="0.2">
      <c r="A358" s="40"/>
      <c r="B358" s="29"/>
      <c r="C358" s="1"/>
      <c r="D358" s="1"/>
      <c r="E358" s="1"/>
      <c r="F358" s="1"/>
      <c r="G358" s="24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" x14ac:dyDescent="0.2">
      <c r="A359" s="40"/>
      <c r="B359" s="29"/>
      <c r="C359" s="1"/>
      <c r="D359" s="1"/>
      <c r="E359" s="1"/>
      <c r="F359" s="1"/>
      <c r="G359" s="24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" x14ac:dyDescent="0.2">
      <c r="A360" s="40"/>
      <c r="B360" s="29"/>
      <c r="C360" s="1"/>
      <c r="D360" s="1"/>
      <c r="E360" s="1"/>
      <c r="F360" s="1"/>
      <c r="G360" s="24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" x14ac:dyDescent="0.2">
      <c r="A361" s="40"/>
      <c r="B361" s="29"/>
      <c r="C361" s="1"/>
      <c r="D361" s="1"/>
      <c r="E361" s="1"/>
      <c r="F361" s="1"/>
      <c r="G361" s="24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" x14ac:dyDescent="0.2">
      <c r="A362" s="40"/>
      <c r="B362" s="29"/>
      <c r="C362" s="1"/>
      <c r="D362" s="1"/>
      <c r="E362" s="1"/>
      <c r="F362" s="1"/>
      <c r="G362" s="24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" x14ac:dyDescent="0.2">
      <c r="A363" s="40"/>
      <c r="B363" s="29"/>
      <c r="C363" s="1"/>
      <c r="D363" s="1"/>
      <c r="E363" s="1"/>
      <c r="F363" s="1"/>
      <c r="G363" s="24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" x14ac:dyDescent="0.2">
      <c r="A364" s="40"/>
      <c r="B364" s="29"/>
      <c r="C364" s="1"/>
      <c r="D364" s="1"/>
      <c r="E364" s="1"/>
      <c r="F364" s="1"/>
      <c r="G364" s="24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" x14ac:dyDescent="0.2">
      <c r="A365" s="40"/>
      <c r="B365" s="29"/>
      <c r="C365" s="1"/>
      <c r="D365" s="1"/>
      <c r="E365" s="1"/>
      <c r="F365" s="1"/>
      <c r="G365" s="24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" x14ac:dyDescent="0.2">
      <c r="A366" s="40"/>
      <c r="B366" s="29"/>
      <c r="C366" s="1"/>
      <c r="D366" s="1"/>
      <c r="E366" s="1"/>
      <c r="F366" s="1"/>
      <c r="G366" s="24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" x14ac:dyDescent="0.2">
      <c r="A367" s="40"/>
      <c r="B367" s="29"/>
      <c r="C367" s="1"/>
      <c r="D367" s="1"/>
      <c r="E367" s="1"/>
      <c r="F367" s="1"/>
      <c r="G367" s="24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" x14ac:dyDescent="0.2">
      <c r="A368" s="40"/>
      <c r="B368" s="29"/>
      <c r="C368" s="1"/>
      <c r="D368" s="1"/>
      <c r="E368" s="1"/>
      <c r="F368" s="1"/>
      <c r="G368" s="24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" x14ac:dyDescent="0.2">
      <c r="A369" s="40"/>
      <c r="B369" s="29"/>
      <c r="C369" s="1"/>
      <c r="D369" s="1"/>
      <c r="E369" s="1"/>
      <c r="F369" s="1"/>
      <c r="G369" s="24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" x14ac:dyDescent="0.2">
      <c r="A370" s="40"/>
      <c r="B370" s="29"/>
      <c r="C370" s="1"/>
      <c r="D370" s="1"/>
      <c r="E370" s="1"/>
      <c r="F370" s="1"/>
      <c r="G370" s="24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" x14ac:dyDescent="0.2">
      <c r="A371" s="40"/>
      <c r="B371" s="29"/>
      <c r="C371" s="1"/>
      <c r="D371" s="1"/>
      <c r="E371" s="1"/>
      <c r="F371" s="1"/>
      <c r="G371" s="24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" x14ac:dyDescent="0.2">
      <c r="A372" s="40"/>
      <c r="B372" s="29"/>
      <c r="C372" s="1"/>
      <c r="D372" s="1"/>
      <c r="E372" s="1"/>
      <c r="F372" s="1"/>
      <c r="G372" s="24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" x14ac:dyDescent="0.2">
      <c r="A373" s="40"/>
      <c r="B373" s="29"/>
      <c r="C373" s="1"/>
      <c r="D373" s="1"/>
      <c r="E373" s="1"/>
      <c r="F373" s="1"/>
      <c r="G373" s="2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" x14ac:dyDescent="0.2">
      <c r="A374" s="40"/>
      <c r="B374" s="29"/>
      <c r="C374" s="1"/>
      <c r="D374" s="1"/>
      <c r="E374" s="1"/>
      <c r="F374" s="1"/>
      <c r="G374" s="2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" x14ac:dyDescent="0.2">
      <c r="A375" s="40"/>
      <c r="B375" s="29"/>
      <c r="C375" s="1"/>
      <c r="D375" s="1"/>
      <c r="E375" s="1"/>
      <c r="F375" s="1"/>
      <c r="G375" s="24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" x14ac:dyDescent="0.2">
      <c r="A376" s="40"/>
      <c r="B376" s="29"/>
      <c r="C376" s="1"/>
      <c r="D376" s="1"/>
      <c r="E376" s="1"/>
      <c r="F376" s="1"/>
      <c r="G376" s="24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" x14ac:dyDescent="0.2">
      <c r="A377" s="40"/>
      <c r="B377" s="29"/>
      <c r="C377" s="1"/>
      <c r="D377" s="1"/>
      <c r="E377" s="1"/>
      <c r="F377" s="1"/>
      <c r="G377" s="24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" x14ac:dyDescent="0.2">
      <c r="A378" s="40"/>
      <c r="B378" s="29"/>
      <c r="C378" s="1"/>
      <c r="D378" s="1"/>
      <c r="E378" s="1"/>
      <c r="F378" s="1"/>
      <c r="G378" s="24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" x14ac:dyDescent="0.2">
      <c r="A379" s="40"/>
      <c r="B379" s="29"/>
      <c r="C379" s="1"/>
      <c r="D379" s="1"/>
      <c r="E379" s="1"/>
      <c r="F379" s="1"/>
      <c r="G379" s="24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" x14ac:dyDescent="0.2">
      <c r="A380" s="40"/>
      <c r="B380" s="29"/>
      <c r="C380" s="1"/>
      <c r="D380" s="1"/>
      <c r="E380" s="1"/>
      <c r="F380" s="1"/>
      <c r="G380" s="24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" x14ac:dyDescent="0.2">
      <c r="A381" s="40"/>
      <c r="B381" s="29"/>
      <c r="C381" s="1"/>
      <c r="D381" s="1"/>
      <c r="E381" s="1"/>
      <c r="F381" s="1"/>
      <c r="G381" s="24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" x14ac:dyDescent="0.2">
      <c r="A382" s="40"/>
      <c r="B382" s="29"/>
      <c r="C382" s="1"/>
      <c r="D382" s="1"/>
      <c r="E382" s="1"/>
      <c r="F382" s="1"/>
      <c r="G382" s="24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" x14ac:dyDescent="0.2">
      <c r="A383" s="40"/>
      <c r="B383" s="29"/>
      <c r="C383" s="1"/>
      <c r="D383" s="1"/>
      <c r="E383" s="1"/>
      <c r="F383" s="1"/>
      <c r="G383" s="24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" x14ac:dyDescent="0.2">
      <c r="A384" s="40"/>
      <c r="B384" s="29"/>
      <c r="C384" s="1"/>
      <c r="D384" s="1"/>
      <c r="E384" s="1"/>
      <c r="F384" s="1"/>
      <c r="G384" s="24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" x14ac:dyDescent="0.2">
      <c r="A385" s="40"/>
      <c r="B385" s="29"/>
      <c r="C385" s="1"/>
      <c r="D385" s="1"/>
      <c r="E385" s="1"/>
      <c r="F385" s="1"/>
      <c r="G385" s="24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" x14ac:dyDescent="0.2">
      <c r="A386" s="40"/>
      <c r="B386" s="29"/>
      <c r="C386" s="1"/>
      <c r="D386" s="1"/>
      <c r="E386" s="1"/>
      <c r="F386" s="1"/>
      <c r="G386" s="24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" x14ac:dyDescent="0.2">
      <c r="A387" s="40"/>
      <c r="B387" s="29"/>
      <c r="C387" s="1"/>
      <c r="D387" s="1"/>
      <c r="E387" s="1"/>
      <c r="F387" s="1"/>
      <c r="G387" s="24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" x14ac:dyDescent="0.2">
      <c r="A388" s="40"/>
      <c r="B388" s="29"/>
      <c r="C388" s="1"/>
      <c r="D388" s="1"/>
      <c r="E388" s="1"/>
      <c r="F388" s="1"/>
      <c r="G388" s="24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" x14ac:dyDescent="0.2">
      <c r="A389" s="40"/>
      <c r="B389" s="29"/>
      <c r="C389" s="1"/>
      <c r="D389" s="1"/>
      <c r="E389" s="1"/>
      <c r="F389" s="1"/>
      <c r="G389" s="24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" x14ac:dyDescent="0.2">
      <c r="A390" s="40"/>
      <c r="B390" s="29"/>
      <c r="C390" s="1"/>
      <c r="D390" s="1"/>
      <c r="E390" s="1"/>
      <c r="F390" s="1"/>
      <c r="G390" s="24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" x14ac:dyDescent="0.2">
      <c r="A391" s="40"/>
      <c r="B391" s="29"/>
      <c r="C391" s="1"/>
      <c r="D391" s="1"/>
      <c r="E391" s="1"/>
      <c r="F391" s="1"/>
      <c r="G391" s="24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" x14ac:dyDescent="0.2">
      <c r="A392" s="40"/>
      <c r="B392" s="29"/>
      <c r="C392" s="1"/>
      <c r="D392" s="1"/>
      <c r="E392" s="1"/>
      <c r="F392" s="1"/>
      <c r="G392" s="24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" x14ac:dyDescent="0.2">
      <c r="A393" s="40"/>
      <c r="B393" s="29"/>
      <c r="C393" s="1"/>
      <c r="D393" s="1"/>
      <c r="E393" s="1"/>
      <c r="F393" s="1"/>
      <c r="G393" s="24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" x14ac:dyDescent="0.2">
      <c r="A394" s="40"/>
      <c r="B394" s="29"/>
      <c r="C394" s="1"/>
      <c r="D394" s="1"/>
      <c r="E394" s="1"/>
      <c r="F394" s="1"/>
      <c r="G394" s="24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" x14ac:dyDescent="0.2">
      <c r="A395" s="40"/>
      <c r="B395" s="29"/>
      <c r="C395" s="1"/>
      <c r="D395" s="1"/>
      <c r="E395" s="1"/>
      <c r="F395" s="1"/>
      <c r="G395" s="24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" x14ac:dyDescent="0.2">
      <c r="A396" s="40"/>
      <c r="B396" s="29"/>
      <c r="C396" s="1"/>
      <c r="D396" s="1"/>
      <c r="E396" s="1"/>
      <c r="F396" s="1"/>
      <c r="G396" s="24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" x14ac:dyDescent="0.2">
      <c r="A397" s="40"/>
      <c r="B397" s="29"/>
      <c r="C397" s="1"/>
      <c r="D397" s="1"/>
      <c r="E397" s="1"/>
      <c r="F397" s="1"/>
      <c r="G397" s="24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" x14ac:dyDescent="0.2">
      <c r="A398" s="40"/>
      <c r="B398" s="29"/>
      <c r="C398" s="1"/>
      <c r="D398" s="1"/>
      <c r="E398" s="1"/>
      <c r="F398" s="1"/>
      <c r="G398" s="24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" x14ac:dyDescent="0.2">
      <c r="A399" s="40"/>
      <c r="B399" s="29"/>
      <c r="C399" s="1"/>
      <c r="D399" s="1"/>
      <c r="E399" s="1"/>
      <c r="F399" s="1"/>
      <c r="G399" s="24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" x14ac:dyDescent="0.2">
      <c r="A400" s="40"/>
      <c r="B400" s="29"/>
      <c r="C400" s="1"/>
      <c r="D400" s="1"/>
      <c r="E400" s="1"/>
      <c r="F400" s="1"/>
      <c r="G400" s="24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" x14ac:dyDescent="0.2">
      <c r="A401" s="40"/>
      <c r="B401" s="29"/>
      <c r="C401" s="1"/>
      <c r="D401" s="1"/>
      <c r="E401" s="1"/>
      <c r="F401" s="1"/>
      <c r="G401" s="24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" x14ac:dyDescent="0.2">
      <c r="A402" s="40"/>
      <c r="B402" s="29"/>
      <c r="C402" s="1"/>
      <c r="D402" s="1"/>
      <c r="E402" s="1"/>
      <c r="F402" s="1"/>
      <c r="G402" s="24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" x14ac:dyDescent="0.2">
      <c r="A403" s="40"/>
      <c r="B403" s="29"/>
      <c r="C403" s="1"/>
      <c r="D403" s="1"/>
      <c r="E403" s="1"/>
      <c r="F403" s="1"/>
      <c r="G403" s="24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" x14ac:dyDescent="0.2">
      <c r="A404" s="40"/>
      <c r="B404" s="29"/>
      <c r="C404" s="1"/>
      <c r="D404" s="1"/>
      <c r="E404" s="1"/>
      <c r="F404" s="1"/>
      <c r="G404" s="24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" x14ac:dyDescent="0.2">
      <c r="A405" s="40"/>
      <c r="B405" s="29"/>
      <c r="C405" s="1"/>
      <c r="D405" s="1"/>
      <c r="E405" s="1"/>
      <c r="F405" s="1"/>
      <c r="G405" s="24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" x14ac:dyDescent="0.2">
      <c r="A406" s="40"/>
      <c r="B406" s="29"/>
      <c r="C406" s="1"/>
      <c r="D406" s="1"/>
      <c r="E406" s="1"/>
      <c r="F406" s="1"/>
      <c r="G406" s="24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" x14ac:dyDescent="0.2">
      <c r="A407" s="40"/>
      <c r="B407" s="29"/>
      <c r="C407" s="1"/>
      <c r="D407" s="1"/>
      <c r="E407" s="1"/>
      <c r="F407" s="1"/>
      <c r="G407" s="24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" x14ac:dyDescent="0.2">
      <c r="A408" s="40"/>
      <c r="B408" s="29"/>
      <c r="C408" s="1"/>
      <c r="D408" s="1"/>
      <c r="E408" s="1"/>
      <c r="F408" s="1"/>
      <c r="G408" s="24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" x14ac:dyDescent="0.2">
      <c r="A409" s="40"/>
      <c r="B409" s="29"/>
      <c r="C409" s="1"/>
      <c r="D409" s="1"/>
      <c r="E409" s="1"/>
      <c r="F409" s="1"/>
      <c r="G409" s="24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" x14ac:dyDescent="0.2">
      <c r="A410" s="40"/>
      <c r="B410" s="29"/>
      <c r="C410" s="1"/>
      <c r="D410" s="1"/>
      <c r="E410" s="1"/>
      <c r="F410" s="1"/>
      <c r="G410" s="24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" x14ac:dyDescent="0.2">
      <c r="A411" s="40"/>
      <c r="B411" s="29"/>
      <c r="C411" s="1"/>
      <c r="D411" s="1"/>
      <c r="E411" s="1"/>
      <c r="F411" s="1"/>
      <c r="G411" s="24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" x14ac:dyDescent="0.2">
      <c r="A412" s="40"/>
      <c r="B412" s="29"/>
      <c r="C412" s="1"/>
      <c r="D412" s="1"/>
      <c r="E412" s="1"/>
      <c r="F412" s="1"/>
      <c r="G412" s="24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" x14ac:dyDescent="0.2">
      <c r="A413" s="40"/>
      <c r="B413" s="29"/>
      <c r="C413" s="1"/>
      <c r="D413" s="1"/>
      <c r="E413" s="1"/>
      <c r="F413" s="1"/>
      <c r="G413" s="24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" x14ac:dyDescent="0.2">
      <c r="A414" s="40"/>
      <c r="B414" s="29"/>
      <c r="C414" s="1"/>
      <c r="D414" s="1"/>
      <c r="E414" s="1"/>
      <c r="F414" s="1"/>
      <c r="G414" s="24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" x14ac:dyDescent="0.2">
      <c r="A415" s="40"/>
      <c r="B415" s="29"/>
      <c r="C415" s="1"/>
      <c r="D415" s="1"/>
      <c r="E415" s="1"/>
      <c r="F415" s="1"/>
      <c r="G415" s="24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" x14ac:dyDescent="0.2">
      <c r="A416" s="40"/>
      <c r="B416" s="29"/>
      <c r="C416" s="1"/>
      <c r="D416" s="1"/>
      <c r="E416" s="1"/>
      <c r="F416" s="1"/>
      <c r="G416" s="24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" x14ac:dyDescent="0.2">
      <c r="A417" s="40"/>
      <c r="B417" s="29"/>
      <c r="C417" s="1"/>
      <c r="D417" s="1"/>
      <c r="E417" s="1"/>
      <c r="F417" s="1"/>
      <c r="G417" s="24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" x14ac:dyDescent="0.2">
      <c r="A418" s="40"/>
      <c r="B418" s="29"/>
      <c r="C418" s="1"/>
      <c r="D418" s="1"/>
      <c r="E418" s="1"/>
      <c r="F418" s="1"/>
      <c r="G418" s="24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" x14ac:dyDescent="0.2">
      <c r="A419" s="40"/>
      <c r="B419" s="29"/>
      <c r="C419" s="1"/>
      <c r="D419" s="1"/>
      <c r="E419" s="1"/>
      <c r="F419" s="1"/>
      <c r="G419" s="24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" x14ac:dyDescent="0.2">
      <c r="A420" s="40"/>
      <c r="B420" s="29"/>
      <c r="C420" s="1"/>
      <c r="D420" s="1"/>
      <c r="E420" s="1"/>
      <c r="F420" s="1"/>
      <c r="G420" s="24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" x14ac:dyDescent="0.2">
      <c r="A421" s="40"/>
      <c r="B421" s="29"/>
      <c r="C421" s="1"/>
      <c r="D421" s="1"/>
      <c r="E421" s="1"/>
      <c r="F421" s="1"/>
      <c r="G421" s="24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" x14ac:dyDescent="0.2">
      <c r="A422" s="40"/>
      <c r="B422" s="29"/>
      <c r="C422" s="1"/>
      <c r="D422" s="1"/>
      <c r="E422" s="1"/>
      <c r="F422" s="1"/>
      <c r="G422" s="24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" x14ac:dyDescent="0.2">
      <c r="A423" s="40"/>
      <c r="B423" s="29"/>
      <c r="C423" s="1"/>
      <c r="D423" s="1"/>
      <c r="E423" s="1"/>
      <c r="F423" s="1"/>
      <c r="G423" s="24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" x14ac:dyDescent="0.2">
      <c r="A424" s="40"/>
      <c r="B424" s="29"/>
      <c r="C424" s="1"/>
      <c r="D424" s="1"/>
      <c r="E424" s="1"/>
      <c r="F424" s="1"/>
      <c r="G424" s="24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" x14ac:dyDescent="0.2">
      <c r="A425" s="40"/>
      <c r="B425" s="29"/>
      <c r="C425" s="1"/>
      <c r="D425" s="1"/>
      <c r="E425" s="1"/>
      <c r="F425" s="1"/>
      <c r="G425" s="24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" x14ac:dyDescent="0.2">
      <c r="A426" s="40"/>
      <c r="B426" s="29"/>
      <c r="C426" s="1"/>
      <c r="D426" s="1"/>
      <c r="E426" s="1"/>
      <c r="F426" s="1"/>
      <c r="G426" s="24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" x14ac:dyDescent="0.2">
      <c r="A427" s="40"/>
      <c r="B427" s="29"/>
      <c r="C427" s="1"/>
      <c r="D427" s="1"/>
      <c r="E427" s="1"/>
      <c r="F427" s="1"/>
      <c r="G427" s="24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" x14ac:dyDescent="0.2">
      <c r="A428" s="40"/>
      <c r="B428" s="29"/>
      <c r="C428" s="1"/>
      <c r="D428" s="1"/>
      <c r="E428" s="1"/>
      <c r="F428" s="1"/>
      <c r="G428" s="24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" x14ac:dyDescent="0.2">
      <c r="A429" s="40"/>
      <c r="B429" s="29"/>
      <c r="C429" s="1"/>
      <c r="D429" s="1"/>
      <c r="E429" s="1"/>
      <c r="F429" s="1"/>
      <c r="G429" s="24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" x14ac:dyDescent="0.2">
      <c r="A430" s="40"/>
      <c r="B430" s="29"/>
      <c r="C430" s="1"/>
      <c r="D430" s="1"/>
      <c r="E430" s="1"/>
      <c r="F430" s="1"/>
      <c r="G430" s="24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" x14ac:dyDescent="0.2">
      <c r="A431" s="40"/>
      <c r="B431" s="29"/>
      <c r="C431" s="1"/>
      <c r="D431" s="1"/>
      <c r="E431" s="1"/>
      <c r="F431" s="1"/>
      <c r="G431" s="24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" x14ac:dyDescent="0.2">
      <c r="A432" s="40"/>
      <c r="B432" s="29"/>
      <c r="C432" s="1"/>
      <c r="D432" s="1"/>
      <c r="E432" s="1"/>
      <c r="F432" s="1"/>
      <c r="G432" s="24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" x14ac:dyDescent="0.2">
      <c r="A433" s="40"/>
      <c r="B433" s="29"/>
      <c r="C433" s="1"/>
      <c r="D433" s="1"/>
      <c r="E433" s="1"/>
      <c r="F433" s="1"/>
      <c r="G433" s="24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" x14ac:dyDescent="0.2">
      <c r="A434" s="40"/>
      <c r="B434" s="29"/>
      <c r="C434" s="1"/>
      <c r="D434" s="1"/>
      <c r="E434" s="1"/>
      <c r="F434" s="1"/>
      <c r="G434" s="24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" x14ac:dyDescent="0.2">
      <c r="A435" s="40"/>
      <c r="B435" s="29"/>
      <c r="C435" s="1"/>
      <c r="D435" s="1"/>
      <c r="E435" s="1"/>
      <c r="F435" s="1"/>
      <c r="G435" s="24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" x14ac:dyDescent="0.2">
      <c r="A436" s="40"/>
      <c r="B436" s="29"/>
      <c r="C436" s="1"/>
      <c r="D436" s="1"/>
      <c r="E436" s="1"/>
      <c r="F436" s="1"/>
      <c r="G436" s="24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" x14ac:dyDescent="0.2">
      <c r="A437" s="40"/>
      <c r="B437" s="29"/>
      <c r="C437" s="1"/>
      <c r="D437" s="1"/>
      <c r="E437" s="1"/>
      <c r="F437" s="1"/>
      <c r="G437" s="24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" x14ac:dyDescent="0.2">
      <c r="A438" s="40"/>
      <c r="B438" s="29"/>
      <c r="C438" s="1"/>
      <c r="D438" s="1"/>
      <c r="E438" s="1"/>
      <c r="F438" s="1"/>
      <c r="G438" s="24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" x14ac:dyDescent="0.2">
      <c r="A439" s="40"/>
      <c r="B439" s="29"/>
      <c r="C439" s="1"/>
      <c r="D439" s="1"/>
      <c r="E439" s="1"/>
      <c r="F439" s="1"/>
      <c r="G439" s="24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" x14ac:dyDescent="0.2">
      <c r="A440" s="40"/>
      <c r="B440" s="29"/>
      <c r="C440" s="1"/>
      <c r="D440" s="1"/>
      <c r="E440" s="1"/>
      <c r="F440" s="1"/>
      <c r="G440" s="24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" x14ac:dyDescent="0.2">
      <c r="A441" s="40"/>
      <c r="B441" s="29"/>
      <c r="C441" s="1"/>
      <c r="D441" s="1"/>
      <c r="E441" s="1"/>
      <c r="F441" s="1"/>
      <c r="G441" s="24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" x14ac:dyDescent="0.2">
      <c r="A442" s="40"/>
      <c r="B442" s="29"/>
      <c r="C442" s="1"/>
      <c r="D442" s="1"/>
      <c r="E442" s="1"/>
      <c r="F442" s="1"/>
      <c r="G442" s="24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" x14ac:dyDescent="0.2">
      <c r="A443" s="40"/>
      <c r="B443" s="29"/>
      <c r="C443" s="1"/>
      <c r="D443" s="1"/>
      <c r="E443" s="1"/>
      <c r="F443" s="1"/>
      <c r="G443" s="24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" x14ac:dyDescent="0.2">
      <c r="A444" s="40"/>
      <c r="B444" s="29"/>
      <c r="C444" s="1"/>
      <c r="D444" s="1"/>
      <c r="E444" s="1"/>
      <c r="F444" s="1"/>
      <c r="G444" s="24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" x14ac:dyDescent="0.2">
      <c r="A445" s="40"/>
      <c r="B445" s="29"/>
      <c r="C445" s="1"/>
      <c r="D445" s="1"/>
      <c r="E445" s="1"/>
      <c r="F445" s="1"/>
      <c r="G445" s="24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" x14ac:dyDescent="0.2">
      <c r="A446" s="40"/>
      <c r="B446" s="29"/>
      <c r="C446" s="1"/>
      <c r="D446" s="1"/>
      <c r="E446" s="1"/>
      <c r="F446" s="1"/>
      <c r="G446" s="24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" x14ac:dyDescent="0.2">
      <c r="A447" s="40"/>
      <c r="B447" s="29"/>
      <c r="C447" s="1"/>
      <c r="D447" s="1"/>
      <c r="E447" s="1"/>
      <c r="F447" s="1"/>
      <c r="G447" s="24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" x14ac:dyDescent="0.2">
      <c r="A448" s="40"/>
      <c r="B448" s="29"/>
      <c r="C448" s="1"/>
      <c r="D448" s="1"/>
      <c r="E448" s="1"/>
      <c r="F448" s="1"/>
      <c r="G448" s="24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" x14ac:dyDescent="0.2">
      <c r="A449" s="40"/>
      <c r="B449" s="29"/>
      <c r="C449" s="1"/>
      <c r="D449" s="1"/>
      <c r="E449" s="1"/>
      <c r="F449" s="1"/>
      <c r="G449" s="24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" x14ac:dyDescent="0.2">
      <c r="A450" s="40"/>
      <c r="B450" s="29"/>
      <c r="C450" s="1"/>
      <c r="D450" s="1"/>
      <c r="E450" s="1"/>
      <c r="F450" s="1"/>
      <c r="G450" s="24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" x14ac:dyDescent="0.2">
      <c r="A451" s="40"/>
      <c r="B451" s="29"/>
      <c r="C451" s="1"/>
      <c r="D451" s="1"/>
      <c r="E451" s="1"/>
      <c r="F451" s="1"/>
      <c r="G451" s="24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" x14ac:dyDescent="0.2">
      <c r="A452" s="40"/>
      <c r="B452" s="29"/>
      <c r="C452" s="1"/>
      <c r="D452" s="1"/>
      <c r="E452" s="1"/>
      <c r="F452" s="1"/>
      <c r="G452" s="24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" x14ac:dyDescent="0.2">
      <c r="A453" s="40"/>
      <c r="B453" s="29"/>
      <c r="C453" s="1"/>
      <c r="D453" s="1"/>
      <c r="E453" s="1"/>
      <c r="F453" s="1"/>
      <c r="G453" s="24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" x14ac:dyDescent="0.2">
      <c r="A454" s="40"/>
      <c r="B454" s="29"/>
      <c r="C454" s="1"/>
      <c r="D454" s="1"/>
      <c r="E454" s="1"/>
      <c r="F454" s="1"/>
      <c r="G454" s="24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" x14ac:dyDescent="0.2">
      <c r="A455" s="40"/>
      <c r="B455" s="29"/>
      <c r="C455" s="1"/>
      <c r="D455" s="1"/>
      <c r="E455" s="1"/>
      <c r="F455" s="1"/>
      <c r="G455" s="24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" x14ac:dyDescent="0.2">
      <c r="A456" s="40"/>
      <c r="B456" s="29"/>
      <c r="C456" s="1"/>
      <c r="D456" s="1"/>
      <c r="E456" s="1"/>
      <c r="F456" s="1"/>
      <c r="G456" s="24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" x14ac:dyDescent="0.2">
      <c r="A457" s="40"/>
      <c r="B457" s="29"/>
      <c r="C457" s="1"/>
      <c r="D457" s="1"/>
      <c r="E457" s="1"/>
      <c r="F457" s="1"/>
      <c r="G457" s="24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" x14ac:dyDescent="0.2">
      <c r="A458" s="40"/>
      <c r="B458" s="29"/>
      <c r="C458" s="1"/>
      <c r="D458" s="1"/>
      <c r="E458" s="1"/>
      <c r="F458" s="1"/>
      <c r="G458" s="24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" x14ac:dyDescent="0.2">
      <c r="A459" s="40"/>
      <c r="B459" s="29"/>
      <c r="C459" s="1"/>
      <c r="D459" s="1"/>
      <c r="E459" s="1"/>
      <c r="F459" s="1"/>
      <c r="G459" s="24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" x14ac:dyDescent="0.2">
      <c r="A460" s="40"/>
      <c r="B460" s="29"/>
      <c r="C460" s="1"/>
      <c r="D460" s="1"/>
      <c r="E460" s="1"/>
      <c r="F460" s="1"/>
      <c r="G460" s="24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" x14ac:dyDescent="0.2">
      <c r="A461" s="40"/>
      <c r="B461" s="29"/>
      <c r="C461" s="1"/>
      <c r="D461" s="1"/>
      <c r="E461" s="1"/>
      <c r="F461" s="1"/>
      <c r="G461" s="24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" x14ac:dyDescent="0.2">
      <c r="A462" s="40"/>
      <c r="B462" s="29"/>
      <c r="C462" s="1"/>
      <c r="D462" s="1"/>
      <c r="E462" s="1"/>
      <c r="F462" s="1"/>
      <c r="G462" s="24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" x14ac:dyDescent="0.2">
      <c r="A463" s="40"/>
      <c r="B463" s="29"/>
      <c r="C463" s="1"/>
      <c r="D463" s="1"/>
      <c r="E463" s="1"/>
      <c r="F463" s="1"/>
      <c r="G463" s="24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" x14ac:dyDescent="0.2">
      <c r="A464" s="40"/>
      <c r="B464" s="29"/>
      <c r="C464" s="1"/>
      <c r="D464" s="1"/>
      <c r="E464" s="1"/>
      <c r="F464" s="1"/>
      <c r="G464" s="24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" x14ac:dyDescent="0.2">
      <c r="A465" s="40"/>
      <c r="B465" s="29"/>
      <c r="C465" s="1"/>
      <c r="D465" s="1"/>
      <c r="E465" s="1"/>
      <c r="F465" s="1"/>
      <c r="G465" s="24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" x14ac:dyDescent="0.2">
      <c r="A466" s="40"/>
      <c r="B466" s="29"/>
      <c r="C466" s="1"/>
      <c r="D466" s="1"/>
      <c r="E466" s="1"/>
      <c r="F466" s="1"/>
      <c r="G466" s="24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" x14ac:dyDescent="0.2">
      <c r="A467" s="40"/>
      <c r="B467" s="29"/>
      <c r="C467" s="1"/>
      <c r="D467" s="1"/>
      <c r="E467" s="1"/>
      <c r="F467" s="1"/>
      <c r="G467" s="24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" x14ac:dyDescent="0.2">
      <c r="A468" s="40"/>
      <c r="B468" s="29"/>
      <c r="C468" s="1"/>
      <c r="D468" s="1"/>
      <c r="E468" s="1"/>
      <c r="F468" s="1"/>
      <c r="G468" s="24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" x14ac:dyDescent="0.2">
      <c r="A469" s="40"/>
      <c r="B469" s="29"/>
      <c r="C469" s="1"/>
      <c r="D469" s="1"/>
      <c r="E469" s="1"/>
      <c r="F469" s="1"/>
      <c r="G469" s="24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" x14ac:dyDescent="0.2">
      <c r="A470" s="40"/>
      <c r="B470" s="29"/>
      <c r="C470" s="1"/>
      <c r="D470" s="1"/>
      <c r="E470" s="1"/>
      <c r="F470" s="1"/>
      <c r="G470" s="24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" x14ac:dyDescent="0.2">
      <c r="A471" s="40"/>
      <c r="B471" s="29"/>
      <c r="C471" s="1"/>
      <c r="D471" s="1"/>
      <c r="E471" s="1"/>
      <c r="F471" s="1"/>
      <c r="G471" s="24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" x14ac:dyDescent="0.2">
      <c r="A472" s="40"/>
      <c r="B472" s="29"/>
      <c r="C472" s="1"/>
      <c r="D472" s="1"/>
      <c r="E472" s="1"/>
      <c r="F472" s="1"/>
      <c r="G472" s="24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" x14ac:dyDescent="0.2">
      <c r="A473" s="40"/>
      <c r="B473" s="29"/>
      <c r="C473" s="1"/>
      <c r="D473" s="1"/>
      <c r="E473" s="1"/>
      <c r="F473" s="1"/>
      <c r="G473" s="24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" x14ac:dyDescent="0.2">
      <c r="A474" s="40"/>
      <c r="B474" s="29"/>
      <c r="C474" s="1"/>
      <c r="D474" s="1"/>
      <c r="E474" s="1"/>
      <c r="F474" s="1"/>
      <c r="G474" s="24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" x14ac:dyDescent="0.2">
      <c r="A475" s="40"/>
      <c r="B475" s="29"/>
      <c r="C475" s="1"/>
      <c r="D475" s="1"/>
      <c r="E475" s="1"/>
      <c r="F475" s="1"/>
      <c r="G475" s="24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" x14ac:dyDescent="0.2">
      <c r="A476" s="40"/>
      <c r="B476" s="29"/>
      <c r="C476" s="1"/>
      <c r="D476" s="1"/>
      <c r="E476" s="1"/>
      <c r="F476" s="1"/>
      <c r="G476" s="24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" x14ac:dyDescent="0.2">
      <c r="A477" s="40"/>
      <c r="B477" s="29"/>
      <c r="C477" s="1"/>
      <c r="D477" s="1"/>
      <c r="E477" s="1"/>
      <c r="F477" s="1"/>
      <c r="G477" s="24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" x14ac:dyDescent="0.2">
      <c r="A478" s="40"/>
      <c r="B478" s="29"/>
      <c r="C478" s="1"/>
      <c r="D478" s="1"/>
      <c r="E478" s="1"/>
      <c r="F478" s="1"/>
      <c r="G478" s="24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" x14ac:dyDescent="0.2">
      <c r="A479" s="40"/>
      <c r="B479" s="29"/>
      <c r="C479" s="1"/>
      <c r="D479" s="1"/>
      <c r="E479" s="1"/>
      <c r="F479" s="1"/>
      <c r="G479" s="24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" x14ac:dyDescent="0.2">
      <c r="A480" s="40"/>
      <c r="B480" s="29"/>
      <c r="C480" s="1"/>
      <c r="D480" s="1"/>
      <c r="E480" s="1"/>
      <c r="F480" s="1"/>
      <c r="G480" s="24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" x14ac:dyDescent="0.2">
      <c r="A481" s="40"/>
      <c r="B481" s="29"/>
      <c r="C481" s="1"/>
      <c r="D481" s="1"/>
      <c r="E481" s="1"/>
      <c r="F481" s="1"/>
      <c r="G481" s="24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" x14ac:dyDescent="0.2">
      <c r="A482" s="40"/>
      <c r="B482" s="29"/>
      <c r="C482" s="1"/>
      <c r="D482" s="1"/>
      <c r="E482" s="1"/>
      <c r="F482" s="1"/>
      <c r="G482" s="24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" x14ac:dyDescent="0.2">
      <c r="A483" s="40"/>
      <c r="B483" s="29"/>
      <c r="C483" s="1"/>
      <c r="D483" s="1"/>
      <c r="E483" s="1"/>
      <c r="F483" s="1"/>
      <c r="G483" s="24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" x14ac:dyDescent="0.2">
      <c r="A484" s="40"/>
      <c r="B484" s="29"/>
      <c r="C484" s="1"/>
      <c r="D484" s="1"/>
      <c r="E484" s="1"/>
      <c r="F484" s="1"/>
      <c r="G484" s="24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" x14ac:dyDescent="0.2">
      <c r="A485" s="40"/>
      <c r="B485" s="29"/>
      <c r="C485" s="1"/>
      <c r="D485" s="1"/>
      <c r="E485" s="1"/>
      <c r="F485" s="1"/>
      <c r="G485" s="24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" x14ac:dyDescent="0.2">
      <c r="A486" s="40"/>
      <c r="B486" s="29"/>
      <c r="C486" s="1"/>
      <c r="D486" s="1"/>
      <c r="E486" s="1"/>
      <c r="F486" s="1"/>
      <c r="G486" s="24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" x14ac:dyDescent="0.2">
      <c r="A487" s="40"/>
      <c r="B487" s="29"/>
      <c r="C487" s="1"/>
      <c r="D487" s="1"/>
      <c r="E487" s="1"/>
      <c r="F487" s="1"/>
      <c r="G487" s="24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" x14ac:dyDescent="0.2">
      <c r="A488" s="40"/>
      <c r="B488" s="29"/>
      <c r="C488" s="1"/>
      <c r="D488" s="1"/>
      <c r="E488" s="1"/>
      <c r="F488" s="1"/>
      <c r="G488" s="24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" x14ac:dyDescent="0.2">
      <c r="A489" s="40"/>
      <c r="B489" s="29"/>
      <c r="C489" s="1"/>
      <c r="D489" s="1"/>
      <c r="E489" s="1"/>
      <c r="F489" s="1"/>
      <c r="G489" s="24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" x14ac:dyDescent="0.2">
      <c r="A490" s="40"/>
      <c r="B490" s="29"/>
      <c r="C490" s="1"/>
      <c r="D490" s="1"/>
      <c r="E490" s="1"/>
      <c r="F490" s="1"/>
      <c r="G490" s="24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" x14ac:dyDescent="0.2">
      <c r="A491" s="40"/>
      <c r="B491" s="29"/>
      <c r="C491" s="1"/>
      <c r="D491" s="1"/>
      <c r="E491" s="1"/>
      <c r="F491" s="1"/>
      <c r="G491" s="24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" x14ac:dyDescent="0.2">
      <c r="A492" s="40"/>
      <c r="B492" s="29"/>
      <c r="C492" s="1"/>
      <c r="D492" s="1"/>
      <c r="E492" s="1"/>
      <c r="F492" s="1"/>
      <c r="G492" s="24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" x14ac:dyDescent="0.2">
      <c r="A493" s="40"/>
      <c r="B493" s="29"/>
      <c r="C493" s="1"/>
      <c r="D493" s="1"/>
      <c r="E493" s="1"/>
      <c r="F493" s="1"/>
      <c r="G493" s="24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" x14ac:dyDescent="0.2">
      <c r="A494" s="40"/>
      <c r="B494" s="29"/>
      <c r="C494" s="1"/>
      <c r="D494" s="1"/>
      <c r="E494" s="1"/>
      <c r="F494" s="1"/>
      <c r="G494" s="24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" x14ac:dyDescent="0.2">
      <c r="A495" s="40"/>
      <c r="B495" s="29"/>
      <c r="C495" s="1"/>
      <c r="D495" s="1"/>
      <c r="E495" s="1"/>
      <c r="F495" s="1"/>
      <c r="G495" s="24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" x14ac:dyDescent="0.2">
      <c r="A496" s="40"/>
      <c r="B496" s="29"/>
      <c r="C496" s="1"/>
      <c r="D496" s="1"/>
      <c r="E496" s="1"/>
      <c r="F496" s="1"/>
      <c r="G496" s="24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" x14ac:dyDescent="0.2">
      <c r="A497" s="40"/>
      <c r="B497" s="29"/>
      <c r="C497" s="1"/>
      <c r="D497" s="1"/>
      <c r="E497" s="1"/>
      <c r="F497" s="1"/>
      <c r="G497" s="24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" x14ac:dyDescent="0.2">
      <c r="A498" s="40"/>
      <c r="B498" s="29"/>
      <c r="C498" s="1"/>
      <c r="D498" s="1"/>
      <c r="E498" s="1"/>
      <c r="F498" s="1"/>
      <c r="G498" s="24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" x14ac:dyDescent="0.2">
      <c r="A499" s="40"/>
      <c r="B499" s="29"/>
      <c r="C499" s="1"/>
      <c r="D499" s="1"/>
      <c r="E499" s="1"/>
      <c r="F499" s="1"/>
      <c r="G499" s="24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" x14ac:dyDescent="0.2">
      <c r="A500" s="40"/>
      <c r="B500" s="29"/>
      <c r="C500" s="1"/>
      <c r="D500" s="1"/>
      <c r="E500" s="1"/>
      <c r="F500" s="1"/>
      <c r="G500" s="24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" x14ac:dyDescent="0.2">
      <c r="A501" s="40"/>
      <c r="B501" s="29"/>
      <c r="C501" s="1"/>
      <c r="D501" s="1"/>
      <c r="E501" s="1"/>
      <c r="F501" s="1"/>
      <c r="G501" s="24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" x14ac:dyDescent="0.2">
      <c r="A502" s="40"/>
      <c r="B502" s="29"/>
      <c r="C502" s="1"/>
      <c r="D502" s="1"/>
      <c r="E502" s="1"/>
      <c r="F502" s="1"/>
      <c r="G502" s="24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" x14ac:dyDescent="0.2">
      <c r="A503" s="40"/>
      <c r="B503" s="29"/>
      <c r="C503" s="1"/>
      <c r="D503" s="1"/>
      <c r="E503" s="1"/>
      <c r="F503" s="1"/>
      <c r="G503" s="24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" x14ac:dyDescent="0.2">
      <c r="A504" s="40"/>
      <c r="B504" s="29"/>
      <c r="C504" s="1"/>
      <c r="D504" s="1"/>
      <c r="E504" s="1"/>
      <c r="F504" s="1"/>
      <c r="G504" s="24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" x14ac:dyDescent="0.2">
      <c r="A505" s="40"/>
      <c r="B505" s="29"/>
      <c r="C505" s="1"/>
      <c r="D505" s="1"/>
      <c r="E505" s="1"/>
      <c r="F505" s="1"/>
      <c r="G505" s="24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" x14ac:dyDescent="0.2">
      <c r="A506" s="40"/>
      <c r="B506" s="29"/>
      <c r="C506" s="1"/>
      <c r="D506" s="1"/>
      <c r="E506" s="1"/>
      <c r="F506" s="1"/>
      <c r="G506" s="24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" x14ac:dyDescent="0.2">
      <c r="A507" s="40"/>
      <c r="B507" s="29"/>
      <c r="C507" s="1"/>
      <c r="D507" s="1"/>
      <c r="E507" s="1"/>
      <c r="F507" s="1"/>
      <c r="G507" s="24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" x14ac:dyDescent="0.2">
      <c r="A508" s="40"/>
      <c r="B508" s="29"/>
      <c r="C508" s="1"/>
      <c r="D508" s="1"/>
      <c r="E508" s="1"/>
      <c r="F508" s="1"/>
      <c r="G508" s="24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" x14ac:dyDescent="0.2">
      <c r="A509" s="40"/>
      <c r="B509" s="29"/>
      <c r="C509" s="1"/>
      <c r="D509" s="1"/>
      <c r="E509" s="1"/>
      <c r="F509" s="1"/>
      <c r="G509" s="24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" x14ac:dyDescent="0.2">
      <c r="A510" s="40"/>
      <c r="B510" s="29"/>
      <c r="C510" s="1"/>
      <c r="D510" s="1"/>
      <c r="E510" s="1"/>
      <c r="F510" s="1"/>
      <c r="G510" s="24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" x14ac:dyDescent="0.2">
      <c r="A511" s="40"/>
      <c r="B511" s="29"/>
      <c r="C511" s="1"/>
      <c r="D511" s="1"/>
      <c r="E511" s="1"/>
      <c r="F511" s="1"/>
      <c r="G511" s="24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" x14ac:dyDescent="0.2">
      <c r="A512" s="40"/>
      <c r="B512" s="29"/>
      <c r="C512" s="1"/>
      <c r="D512" s="1"/>
      <c r="E512" s="1"/>
      <c r="F512" s="1"/>
      <c r="G512" s="24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" x14ac:dyDescent="0.2">
      <c r="A513" s="40"/>
      <c r="B513" s="29"/>
      <c r="C513" s="1"/>
      <c r="D513" s="1"/>
      <c r="E513" s="1"/>
      <c r="F513" s="1"/>
      <c r="G513" s="24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" x14ac:dyDescent="0.2">
      <c r="A514" s="40"/>
      <c r="B514" s="29"/>
      <c r="C514" s="1"/>
      <c r="D514" s="1"/>
      <c r="E514" s="1"/>
      <c r="F514" s="1"/>
      <c r="G514" s="24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" x14ac:dyDescent="0.2">
      <c r="A515" s="40"/>
      <c r="B515" s="29"/>
      <c r="C515" s="1"/>
      <c r="D515" s="1"/>
      <c r="E515" s="1"/>
      <c r="F515" s="1"/>
      <c r="G515" s="24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" x14ac:dyDescent="0.2">
      <c r="A516" s="40"/>
      <c r="B516" s="29"/>
      <c r="C516" s="1"/>
      <c r="D516" s="1"/>
      <c r="E516" s="1"/>
      <c r="F516" s="1"/>
      <c r="G516" s="24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" x14ac:dyDescent="0.2">
      <c r="A517" s="40"/>
      <c r="B517" s="29"/>
      <c r="C517" s="1"/>
      <c r="D517" s="1"/>
      <c r="E517" s="1"/>
      <c r="F517" s="1"/>
      <c r="G517" s="24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" x14ac:dyDescent="0.2">
      <c r="A518" s="40"/>
      <c r="B518" s="29"/>
      <c r="C518" s="1"/>
      <c r="D518" s="1"/>
      <c r="E518" s="1"/>
      <c r="F518" s="1"/>
      <c r="G518" s="24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" x14ac:dyDescent="0.2">
      <c r="A519" s="40"/>
      <c r="B519" s="29"/>
      <c r="C519" s="1"/>
      <c r="D519" s="1"/>
      <c r="E519" s="1"/>
      <c r="F519" s="1"/>
      <c r="G519" s="24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" x14ac:dyDescent="0.2">
      <c r="A520" s="40"/>
      <c r="B520" s="29"/>
      <c r="C520" s="1"/>
      <c r="D520" s="1"/>
      <c r="E520" s="1"/>
      <c r="F520" s="1"/>
      <c r="G520" s="24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" x14ac:dyDescent="0.2">
      <c r="A521" s="40"/>
      <c r="B521" s="29"/>
      <c r="C521" s="1"/>
      <c r="D521" s="1"/>
      <c r="E521" s="1"/>
      <c r="F521" s="1"/>
      <c r="G521" s="24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" x14ac:dyDescent="0.2">
      <c r="A522" s="40"/>
      <c r="B522" s="29"/>
      <c r="C522" s="1"/>
      <c r="D522" s="1"/>
      <c r="E522" s="1"/>
      <c r="F522" s="1"/>
      <c r="G522" s="24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" x14ac:dyDescent="0.2">
      <c r="A523" s="40"/>
      <c r="B523" s="29"/>
      <c r="C523" s="1"/>
      <c r="D523" s="1"/>
      <c r="E523" s="1"/>
      <c r="F523" s="1"/>
      <c r="G523" s="24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" x14ac:dyDescent="0.2">
      <c r="A524" s="40"/>
      <c r="B524" s="29"/>
      <c r="C524" s="1"/>
      <c r="D524" s="1"/>
      <c r="E524" s="1"/>
      <c r="F524" s="1"/>
      <c r="G524" s="24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" x14ac:dyDescent="0.2">
      <c r="A525" s="40"/>
      <c r="B525" s="29"/>
      <c r="C525" s="1"/>
      <c r="D525" s="1"/>
      <c r="E525" s="1"/>
      <c r="F525" s="1"/>
      <c r="G525" s="24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" x14ac:dyDescent="0.2">
      <c r="A526" s="40"/>
      <c r="B526" s="29"/>
      <c r="C526" s="1"/>
      <c r="D526" s="1"/>
      <c r="E526" s="1"/>
      <c r="F526" s="1"/>
      <c r="G526" s="24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" x14ac:dyDescent="0.2">
      <c r="A527" s="40"/>
      <c r="B527" s="29"/>
      <c r="C527" s="1"/>
      <c r="D527" s="1"/>
      <c r="E527" s="1"/>
      <c r="F527" s="1"/>
      <c r="G527" s="24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" x14ac:dyDescent="0.2">
      <c r="A528" s="40"/>
      <c r="B528" s="29"/>
      <c r="C528" s="1"/>
      <c r="D528" s="1"/>
      <c r="E528" s="1"/>
      <c r="F528" s="1"/>
      <c r="G528" s="24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" x14ac:dyDescent="0.2">
      <c r="A529" s="40"/>
      <c r="B529" s="29"/>
      <c r="C529" s="1"/>
      <c r="D529" s="1"/>
      <c r="E529" s="1"/>
      <c r="F529" s="1"/>
      <c r="G529" s="24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" x14ac:dyDescent="0.2">
      <c r="A530" s="40"/>
      <c r="B530" s="29"/>
      <c r="C530" s="1"/>
      <c r="D530" s="1"/>
      <c r="E530" s="1"/>
      <c r="F530" s="1"/>
      <c r="G530" s="24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" x14ac:dyDescent="0.2">
      <c r="A531" s="40"/>
      <c r="B531" s="29"/>
      <c r="C531" s="1"/>
      <c r="D531" s="1"/>
      <c r="E531" s="1"/>
      <c r="F531" s="1"/>
      <c r="G531" s="24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" x14ac:dyDescent="0.2">
      <c r="A532" s="40"/>
      <c r="B532" s="29"/>
      <c r="C532" s="1"/>
      <c r="D532" s="1"/>
      <c r="E532" s="1"/>
      <c r="F532" s="1"/>
      <c r="G532" s="24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" x14ac:dyDescent="0.2">
      <c r="A533" s="40"/>
      <c r="B533" s="29"/>
      <c r="C533" s="1"/>
      <c r="D533" s="1"/>
      <c r="E533" s="1"/>
      <c r="F533" s="1"/>
      <c r="G533" s="24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" x14ac:dyDescent="0.2">
      <c r="A534" s="40"/>
      <c r="B534" s="29"/>
      <c r="C534" s="1"/>
      <c r="D534" s="1"/>
      <c r="E534" s="1"/>
      <c r="F534" s="1"/>
      <c r="G534" s="24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" x14ac:dyDescent="0.2">
      <c r="A535" s="40"/>
      <c r="B535" s="29"/>
      <c r="C535" s="1"/>
      <c r="D535" s="1"/>
      <c r="E535" s="1"/>
      <c r="F535" s="1"/>
      <c r="G535" s="24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" x14ac:dyDescent="0.2">
      <c r="A536" s="40"/>
      <c r="B536" s="29"/>
      <c r="C536" s="1"/>
      <c r="D536" s="1"/>
      <c r="E536" s="1"/>
      <c r="F536" s="1"/>
      <c r="G536" s="24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" x14ac:dyDescent="0.2">
      <c r="A537" s="40"/>
      <c r="B537" s="29"/>
      <c r="C537" s="1"/>
      <c r="D537" s="1"/>
      <c r="E537" s="1"/>
      <c r="F537" s="1"/>
      <c r="G537" s="24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" x14ac:dyDescent="0.2">
      <c r="A538" s="40"/>
      <c r="B538" s="29"/>
      <c r="C538" s="1"/>
      <c r="D538" s="1"/>
      <c r="E538" s="1"/>
      <c r="F538" s="1"/>
      <c r="G538" s="24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" x14ac:dyDescent="0.2">
      <c r="A539" s="40"/>
      <c r="B539" s="29"/>
      <c r="C539" s="1"/>
      <c r="D539" s="1"/>
      <c r="E539" s="1"/>
      <c r="F539" s="1"/>
      <c r="G539" s="24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" x14ac:dyDescent="0.2">
      <c r="A540" s="40"/>
      <c r="B540" s="29"/>
      <c r="C540" s="1"/>
      <c r="D540" s="1"/>
      <c r="E540" s="1"/>
      <c r="F540" s="1"/>
      <c r="G540" s="24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" x14ac:dyDescent="0.2">
      <c r="A541" s="40"/>
      <c r="B541" s="29"/>
      <c r="C541" s="1"/>
      <c r="D541" s="1"/>
      <c r="E541" s="1"/>
      <c r="F541" s="1"/>
      <c r="G541" s="24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" x14ac:dyDescent="0.2">
      <c r="A542" s="40"/>
      <c r="B542" s="29"/>
      <c r="C542" s="1"/>
      <c r="D542" s="1"/>
      <c r="E542" s="1"/>
      <c r="F542" s="1"/>
      <c r="G542" s="24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" x14ac:dyDescent="0.2">
      <c r="A543" s="40"/>
      <c r="B543" s="29"/>
      <c r="C543" s="1"/>
      <c r="D543" s="1"/>
      <c r="E543" s="1"/>
      <c r="F543" s="1"/>
      <c r="G543" s="24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" x14ac:dyDescent="0.2">
      <c r="A544" s="40"/>
      <c r="B544" s="29"/>
      <c r="C544" s="1"/>
      <c r="D544" s="1"/>
      <c r="E544" s="1"/>
      <c r="F544" s="1"/>
      <c r="G544" s="24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" x14ac:dyDescent="0.2">
      <c r="A545" s="40"/>
      <c r="B545" s="29"/>
      <c r="C545" s="1"/>
      <c r="D545" s="1"/>
      <c r="E545" s="1"/>
      <c r="F545" s="1"/>
      <c r="G545" s="24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" x14ac:dyDescent="0.2">
      <c r="A546" s="40"/>
      <c r="B546" s="29"/>
      <c r="C546" s="1"/>
      <c r="D546" s="1"/>
      <c r="E546" s="1"/>
      <c r="F546" s="1"/>
      <c r="G546" s="24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" x14ac:dyDescent="0.2">
      <c r="A547" s="40"/>
      <c r="B547" s="29"/>
      <c r="C547" s="1"/>
      <c r="D547" s="1"/>
      <c r="E547" s="1"/>
      <c r="F547" s="1"/>
      <c r="G547" s="24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" x14ac:dyDescent="0.2">
      <c r="A548" s="40"/>
      <c r="B548" s="29"/>
      <c r="C548" s="1"/>
      <c r="D548" s="1"/>
      <c r="E548" s="1"/>
      <c r="F548" s="1"/>
      <c r="G548" s="24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" x14ac:dyDescent="0.2">
      <c r="A549" s="40"/>
      <c r="B549" s="29"/>
      <c r="C549" s="1"/>
      <c r="D549" s="1"/>
      <c r="E549" s="1"/>
      <c r="F549" s="1"/>
      <c r="G549" s="24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" x14ac:dyDescent="0.2">
      <c r="A550" s="40"/>
      <c r="B550" s="29"/>
      <c r="C550" s="1"/>
      <c r="D550" s="1"/>
      <c r="E550" s="1"/>
      <c r="F550" s="1"/>
      <c r="G550" s="24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" x14ac:dyDescent="0.2">
      <c r="A551" s="40"/>
      <c r="B551" s="29"/>
      <c r="C551" s="1"/>
      <c r="D551" s="1"/>
      <c r="E551" s="1"/>
      <c r="F551" s="1"/>
      <c r="G551" s="24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" x14ac:dyDescent="0.2">
      <c r="A552" s="40"/>
      <c r="B552" s="29"/>
      <c r="C552" s="1"/>
      <c r="D552" s="1"/>
      <c r="E552" s="1"/>
      <c r="F552" s="1"/>
      <c r="G552" s="24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" x14ac:dyDescent="0.2">
      <c r="A553" s="40"/>
      <c r="B553" s="29"/>
      <c r="C553" s="1"/>
      <c r="D553" s="1"/>
      <c r="E553" s="1"/>
      <c r="F553" s="1"/>
      <c r="G553" s="24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" x14ac:dyDescent="0.2">
      <c r="A554" s="40"/>
      <c r="B554" s="29"/>
      <c r="C554" s="1"/>
      <c r="D554" s="1"/>
      <c r="E554" s="1"/>
      <c r="F554" s="1"/>
      <c r="G554" s="24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" x14ac:dyDescent="0.2">
      <c r="A555" s="40"/>
      <c r="B555" s="29"/>
      <c r="C555" s="1"/>
      <c r="D555" s="1"/>
      <c r="E555" s="1"/>
      <c r="F555" s="1"/>
      <c r="G555" s="24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" x14ac:dyDescent="0.2">
      <c r="A556" s="40"/>
      <c r="B556" s="29"/>
      <c r="C556" s="1"/>
      <c r="D556" s="1"/>
      <c r="E556" s="1"/>
      <c r="F556" s="1"/>
      <c r="G556" s="24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" x14ac:dyDescent="0.2">
      <c r="A557" s="40"/>
      <c r="B557" s="29"/>
      <c r="C557" s="1"/>
      <c r="D557" s="1"/>
      <c r="E557" s="1"/>
      <c r="F557" s="1"/>
      <c r="G557" s="24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" x14ac:dyDescent="0.2">
      <c r="A558" s="40"/>
      <c r="B558" s="29"/>
      <c r="C558" s="1"/>
      <c r="D558" s="1"/>
      <c r="E558" s="1"/>
      <c r="F558" s="1"/>
      <c r="G558" s="24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" x14ac:dyDescent="0.2">
      <c r="A559" s="40"/>
      <c r="B559" s="29"/>
      <c r="C559" s="1"/>
      <c r="D559" s="1"/>
      <c r="E559" s="1"/>
      <c r="F559" s="1"/>
      <c r="G559" s="24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" x14ac:dyDescent="0.2">
      <c r="A560" s="40"/>
      <c r="B560" s="29"/>
      <c r="C560" s="1"/>
      <c r="D560" s="1"/>
      <c r="E560" s="1"/>
      <c r="F560" s="1"/>
      <c r="G560" s="24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" x14ac:dyDescent="0.2">
      <c r="A561" s="40"/>
      <c r="B561" s="29"/>
      <c r="C561" s="1"/>
      <c r="D561" s="1"/>
      <c r="E561" s="1"/>
      <c r="F561" s="1"/>
      <c r="G561" s="24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" x14ac:dyDescent="0.2">
      <c r="A562" s="40"/>
      <c r="B562" s="29"/>
      <c r="C562" s="1"/>
      <c r="D562" s="1"/>
      <c r="E562" s="1"/>
      <c r="F562" s="1"/>
      <c r="G562" s="24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" x14ac:dyDescent="0.2">
      <c r="A563" s="40"/>
      <c r="B563" s="29"/>
      <c r="C563" s="1"/>
      <c r="D563" s="1"/>
      <c r="E563" s="1"/>
      <c r="F563" s="1"/>
      <c r="G563" s="24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" x14ac:dyDescent="0.2">
      <c r="A564" s="40"/>
      <c r="B564" s="29"/>
      <c r="C564" s="1"/>
      <c r="D564" s="1"/>
      <c r="E564" s="1"/>
      <c r="F564" s="1"/>
      <c r="G564" s="24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" x14ac:dyDescent="0.2">
      <c r="A565" s="40"/>
      <c r="B565" s="29"/>
      <c r="C565" s="1"/>
      <c r="D565" s="1"/>
      <c r="E565" s="1"/>
      <c r="F565" s="1"/>
      <c r="G565" s="24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" x14ac:dyDescent="0.2">
      <c r="A566" s="40"/>
      <c r="B566" s="29"/>
      <c r="C566" s="1"/>
      <c r="D566" s="1"/>
      <c r="E566" s="1"/>
      <c r="F566" s="1"/>
      <c r="G566" s="24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" x14ac:dyDescent="0.2">
      <c r="A567" s="40"/>
      <c r="B567" s="29"/>
      <c r="C567" s="1"/>
      <c r="D567" s="1"/>
      <c r="E567" s="1"/>
      <c r="F567" s="1"/>
      <c r="G567" s="24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" x14ac:dyDescent="0.2">
      <c r="A568" s="40"/>
      <c r="B568" s="29"/>
      <c r="C568" s="1"/>
      <c r="D568" s="1"/>
      <c r="E568" s="1"/>
      <c r="F568" s="1"/>
      <c r="G568" s="24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" x14ac:dyDescent="0.2">
      <c r="A569" s="40"/>
      <c r="B569" s="29"/>
      <c r="C569" s="1"/>
      <c r="D569" s="1"/>
      <c r="E569" s="1"/>
      <c r="F569" s="1"/>
      <c r="G569" s="24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" x14ac:dyDescent="0.2">
      <c r="A570" s="40"/>
      <c r="B570" s="29"/>
      <c r="C570" s="1"/>
      <c r="D570" s="1"/>
      <c r="E570" s="1"/>
      <c r="F570" s="1"/>
      <c r="G570" s="24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" x14ac:dyDescent="0.2">
      <c r="A571" s="40"/>
      <c r="B571" s="29"/>
      <c r="C571" s="1"/>
      <c r="D571" s="1"/>
      <c r="E571" s="1"/>
      <c r="F571" s="1"/>
      <c r="G571" s="24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" x14ac:dyDescent="0.2">
      <c r="A572" s="40"/>
      <c r="B572" s="29"/>
      <c r="C572" s="1"/>
      <c r="D572" s="1"/>
      <c r="E572" s="1"/>
      <c r="F572" s="1"/>
      <c r="G572" s="24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" x14ac:dyDescent="0.2">
      <c r="A573" s="40"/>
      <c r="B573" s="29"/>
      <c r="C573" s="1"/>
      <c r="D573" s="1"/>
      <c r="E573" s="1"/>
      <c r="F573" s="1"/>
      <c r="G573" s="24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" x14ac:dyDescent="0.2">
      <c r="A574" s="40"/>
      <c r="B574" s="29"/>
      <c r="C574" s="1"/>
      <c r="D574" s="1"/>
      <c r="E574" s="1"/>
      <c r="F574" s="1"/>
      <c r="G574" s="24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" x14ac:dyDescent="0.2">
      <c r="A575" s="40"/>
      <c r="B575" s="29"/>
      <c r="C575" s="1"/>
      <c r="D575" s="1"/>
      <c r="E575" s="1"/>
      <c r="F575" s="1"/>
      <c r="G575" s="24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" x14ac:dyDescent="0.2">
      <c r="A576" s="40"/>
      <c r="B576" s="29"/>
      <c r="C576" s="1"/>
      <c r="D576" s="1"/>
      <c r="E576" s="1"/>
      <c r="F576" s="1"/>
      <c r="G576" s="24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" x14ac:dyDescent="0.2">
      <c r="A577" s="40"/>
      <c r="B577" s="29"/>
      <c r="C577" s="1"/>
      <c r="D577" s="1"/>
      <c r="E577" s="1"/>
      <c r="F577" s="1"/>
      <c r="G577" s="24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" x14ac:dyDescent="0.2">
      <c r="A578" s="40"/>
      <c r="B578" s="29"/>
      <c r="C578" s="1"/>
      <c r="D578" s="1"/>
      <c r="E578" s="1"/>
      <c r="F578" s="1"/>
      <c r="G578" s="24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" x14ac:dyDescent="0.2">
      <c r="A579" s="40"/>
      <c r="B579" s="29"/>
      <c r="C579" s="1"/>
      <c r="D579" s="1"/>
      <c r="E579" s="1"/>
      <c r="F579" s="1"/>
      <c r="G579" s="24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" x14ac:dyDescent="0.2">
      <c r="A580" s="40"/>
      <c r="B580" s="29"/>
      <c r="C580" s="1"/>
      <c r="D580" s="1"/>
      <c r="E580" s="1"/>
      <c r="F580" s="1"/>
      <c r="G580" s="24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" x14ac:dyDescent="0.2">
      <c r="A581" s="40"/>
      <c r="B581" s="29"/>
      <c r="C581" s="1"/>
      <c r="D581" s="1"/>
      <c r="E581" s="1"/>
      <c r="F581" s="1"/>
      <c r="G581" s="24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" x14ac:dyDescent="0.2">
      <c r="A582" s="40"/>
      <c r="B582" s="29"/>
      <c r="C582" s="1"/>
      <c r="D582" s="1"/>
      <c r="E582" s="1"/>
      <c r="F582" s="1"/>
      <c r="G582" s="24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" x14ac:dyDescent="0.2">
      <c r="A583" s="40"/>
      <c r="B583" s="29"/>
      <c r="C583" s="1"/>
      <c r="D583" s="1"/>
      <c r="E583" s="1"/>
      <c r="F583" s="1"/>
      <c r="G583" s="24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" x14ac:dyDescent="0.2">
      <c r="A584" s="40"/>
      <c r="B584" s="29"/>
      <c r="C584" s="1"/>
      <c r="D584" s="1"/>
      <c r="E584" s="1"/>
      <c r="F584" s="1"/>
      <c r="G584" s="24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" x14ac:dyDescent="0.2">
      <c r="A585" s="40"/>
      <c r="B585" s="29"/>
      <c r="C585" s="1"/>
      <c r="D585" s="1"/>
      <c r="E585" s="1"/>
      <c r="F585" s="1"/>
      <c r="G585" s="24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" x14ac:dyDescent="0.2">
      <c r="A586" s="40"/>
      <c r="B586" s="29"/>
      <c r="C586" s="1"/>
      <c r="D586" s="1"/>
      <c r="E586" s="1"/>
      <c r="F586" s="1"/>
      <c r="G586" s="24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" x14ac:dyDescent="0.2">
      <c r="A587" s="40"/>
      <c r="B587" s="29"/>
      <c r="C587" s="1"/>
      <c r="D587" s="1"/>
      <c r="E587" s="1"/>
      <c r="F587" s="1"/>
      <c r="G587" s="24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" x14ac:dyDescent="0.2">
      <c r="A588" s="40"/>
      <c r="B588" s="29"/>
      <c r="C588" s="1"/>
      <c r="D588" s="1"/>
      <c r="E588" s="1"/>
      <c r="F588" s="1"/>
      <c r="G588" s="24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" x14ac:dyDescent="0.2">
      <c r="A589" s="40"/>
      <c r="B589" s="29"/>
      <c r="C589" s="1"/>
      <c r="D589" s="1"/>
      <c r="E589" s="1"/>
      <c r="F589" s="1"/>
      <c r="G589" s="24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" x14ac:dyDescent="0.2">
      <c r="A590" s="40"/>
      <c r="B590" s="29"/>
      <c r="C590" s="1"/>
      <c r="D590" s="1"/>
      <c r="E590" s="1"/>
      <c r="F590" s="1"/>
      <c r="G590" s="24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" x14ac:dyDescent="0.2">
      <c r="A591" s="40"/>
      <c r="B591" s="29"/>
      <c r="C591" s="1"/>
      <c r="D591" s="1"/>
      <c r="E591" s="1"/>
      <c r="F591" s="1"/>
      <c r="G591" s="24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" x14ac:dyDescent="0.2">
      <c r="A592" s="40"/>
      <c r="B592" s="29"/>
      <c r="C592" s="1"/>
      <c r="D592" s="1"/>
      <c r="E592" s="1"/>
      <c r="F592" s="1"/>
      <c r="G592" s="24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" x14ac:dyDescent="0.2">
      <c r="A593" s="40"/>
      <c r="B593" s="29"/>
      <c r="C593" s="1"/>
      <c r="D593" s="1"/>
      <c r="E593" s="1"/>
      <c r="F593" s="1"/>
      <c r="G593" s="24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" x14ac:dyDescent="0.2">
      <c r="A594" s="40"/>
      <c r="B594" s="29"/>
      <c r="C594" s="1"/>
      <c r="D594" s="1"/>
      <c r="E594" s="1"/>
      <c r="F594" s="1"/>
      <c r="G594" s="24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" x14ac:dyDescent="0.2">
      <c r="A595" s="40"/>
      <c r="B595" s="29"/>
      <c r="C595" s="1"/>
      <c r="D595" s="1"/>
      <c r="E595" s="1"/>
      <c r="F595" s="1"/>
      <c r="G595" s="24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" x14ac:dyDescent="0.2">
      <c r="A596" s="40"/>
      <c r="B596" s="29"/>
      <c r="C596" s="1"/>
      <c r="D596" s="1"/>
      <c r="E596" s="1"/>
      <c r="F596" s="1"/>
      <c r="G596" s="24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" x14ac:dyDescent="0.2">
      <c r="A597" s="40"/>
      <c r="B597" s="29"/>
      <c r="C597" s="1"/>
      <c r="D597" s="1"/>
      <c r="E597" s="1"/>
      <c r="F597" s="1"/>
      <c r="G597" s="24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" x14ac:dyDescent="0.2">
      <c r="A598" s="40"/>
      <c r="B598" s="29"/>
      <c r="C598" s="1"/>
      <c r="D598" s="1"/>
      <c r="E598" s="1"/>
      <c r="F598" s="1"/>
      <c r="G598" s="24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" x14ac:dyDescent="0.2">
      <c r="A599" s="40"/>
      <c r="B599" s="29"/>
      <c r="C599" s="1"/>
      <c r="D599" s="1"/>
      <c r="E599" s="1"/>
      <c r="F599" s="1"/>
      <c r="G599" s="24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" x14ac:dyDescent="0.2">
      <c r="A600" s="40"/>
      <c r="B600" s="29"/>
      <c r="C600" s="1"/>
      <c r="D600" s="1"/>
      <c r="E600" s="1"/>
      <c r="F600" s="1"/>
      <c r="G600" s="24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" x14ac:dyDescent="0.2">
      <c r="A601" s="40"/>
      <c r="B601" s="29"/>
      <c r="C601" s="1"/>
      <c r="D601" s="1"/>
      <c r="E601" s="1"/>
      <c r="F601" s="1"/>
      <c r="G601" s="24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" x14ac:dyDescent="0.2">
      <c r="A602" s="40"/>
      <c r="B602" s="29"/>
      <c r="C602" s="1"/>
      <c r="D602" s="1"/>
      <c r="E602" s="1"/>
      <c r="F602" s="1"/>
      <c r="G602" s="24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" x14ac:dyDescent="0.2">
      <c r="A603" s="40"/>
      <c r="B603" s="29"/>
      <c r="C603" s="1"/>
      <c r="D603" s="1"/>
      <c r="E603" s="1"/>
      <c r="F603" s="1"/>
      <c r="G603" s="24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" x14ac:dyDescent="0.2">
      <c r="A604" s="40"/>
      <c r="B604" s="29"/>
      <c r="C604" s="1"/>
      <c r="D604" s="1"/>
      <c r="E604" s="1"/>
      <c r="F604" s="1"/>
      <c r="G604" s="24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" x14ac:dyDescent="0.2">
      <c r="A605" s="40"/>
      <c r="B605" s="29"/>
      <c r="C605" s="1"/>
      <c r="D605" s="1"/>
      <c r="E605" s="1"/>
      <c r="F605" s="1"/>
      <c r="G605" s="24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" x14ac:dyDescent="0.2">
      <c r="A606" s="40"/>
      <c r="B606" s="29"/>
      <c r="C606" s="1"/>
      <c r="D606" s="1"/>
      <c r="E606" s="1"/>
      <c r="F606" s="1"/>
      <c r="G606" s="24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" x14ac:dyDescent="0.2">
      <c r="A607" s="40"/>
      <c r="B607" s="29"/>
      <c r="C607" s="1"/>
      <c r="D607" s="1"/>
      <c r="E607" s="1"/>
      <c r="F607" s="1"/>
      <c r="G607" s="24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" x14ac:dyDescent="0.2">
      <c r="A608" s="40"/>
      <c r="B608" s="29"/>
      <c r="C608" s="1"/>
      <c r="D608" s="1"/>
      <c r="E608" s="1"/>
      <c r="F608" s="1"/>
      <c r="G608" s="24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" x14ac:dyDescent="0.2">
      <c r="A609" s="40"/>
      <c r="B609" s="29"/>
      <c r="C609" s="1"/>
      <c r="D609" s="1"/>
      <c r="E609" s="1"/>
      <c r="F609" s="1"/>
      <c r="G609" s="24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" x14ac:dyDescent="0.2">
      <c r="A610" s="40"/>
      <c r="B610" s="29"/>
      <c r="C610" s="1"/>
      <c r="D610" s="1"/>
      <c r="E610" s="1"/>
      <c r="F610" s="1"/>
      <c r="G610" s="24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" x14ac:dyDescent="0.2">
      <c r="A611" s="40"/>
      <c r="B611" s="29"/>
      <c r="C611" s="1"/>
      <c r="D611" s="1"/>
      <c r="E611" s="1"/>
      <c r="F611" s="1"/>
      <c r="G611" s="24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" x14ac:dyDescent="0.2">
      <c r="A612" s="40"/>
      <c r="B612" s="29"/>
      <c r="C612" s="1"/>
      <c r="D612" s="1"/>
      <c r="E612" s="1"/>
      <c r="F612" s="1"/>
      <c r="G612" s="24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" x14ac:dyDescent="0.2">
      <c r="A613" s="40"/>
      <c r="B613" s="29"/>
      <c r="C613" s="1"/>
      <c r="D613" s="1"/>
      <c r="E613" s="1"/>
      <c r="F613" s="1"/>
      <c r="G613" s="24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" x14ac:dyDescent="0.2">
      <c r="A614" s="40"/>
      <c r="B614" s="29"/>
      <c r="C614" s="1"/>
      <c r="D614" s="1"/>
      <c r="E614" s="1"/>
      <c r="F614" s="1"/>
      <c r="G614" s="24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" x14ac:dyDescent="0.2">
      <c r="A615" s="40"/>
      <c r="B615" s="29"/>
      <c r="C615" s="1"/>
      <c r="D615" s="1"/>
      <c r="E615" s="1"/>
      <c r="F615" s="1"/>
      <c r="G615" s="24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" x14ac:dyDescent="0.2">
      <c r="A616" s="40"/>
      <c r="B616" s="29"/>
      <c r="C616" s="1"/>
      <c r="D616" s="1"/>
      <c r="E616" s="1"/>
      <c r="F616" s="1"/>
      <c r="G616" s="24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" x14ac:dyDescent="0.2">
      <c r="A617" s="40"/>
      <c r="B617" s="29"/>
      <c r="C617" s="1"/>
      <c r="D617" s="1"/>
      <c r="E617" s="1"/>
      <c r="F617" s="1"/>
      <c r="G617" s="24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" x14ac:dyDescent="0.2">
      <c r="A618" s="40"/>
      <c r="B618" s="29"/>
      <c r="C618" s="1"/>
      <c r="D618" s="1"/>
      <c r="E618" s="1"/>
      <c r="F618" s="1"/>
      <c r="G618" s="24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" x14ac:dyDescent="0.2">
      <c r="A619" s="40"/>
      <c r="B619" s="29"/>
      <c r="C619" s="1"/>
      <c r="D619" s="1"/>
      <c r="E619" s="1"/>
      <c r="F619" s="1"/>
      <c r="G619" s="24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" x14ac:dyDescent="0.2">
      <c r="A620" s="40"/>
      <c r="B620" s="29"/>
      <c r="C620" s="1"/>
      <c r="D620" s="1"/>
      <c r="E620" s="1"/>
      <c r="F620" s="1"/>
      <c r="G620" s="24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" x14ac:dyDescent="0.2">
      <c r="A621" s="40"/>
      <c r="B621" s="29"/>
      <c r="C621" s="1"/>
      <c r="D621" s="1"/>
      <c r="E621" s="1"/>
      <c r="F621" s="1"/>
      <c r="G621" s="24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" x14ac:dyDescent="0.2">
      <c r="A622" s="40"/>
      <c r="B622" s="29"/>
      <c r="C622" s="1"/>
      <c r="D622" s="1"/>
      <c r="E622" s="1"/>
      <c r="F622" s="1"/>
      <c r="G622" s="24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" x14ac:dyDescent="0.2">
      <c r="A623" s="40"/>
      <c r="B623" s="29"/>
      <c r="C623" s="1"/>
      <c r="D623" s="1"/>
      <c r="E623" s="1"/>
      <c r="F623" s="1"/>
      <c r="G623" s="24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" x14ac:dyDescent="0.2">
      <c r="A624" s="40"/>
      <c r="B624" s="29"/>
      <c r="C624" s="1"/>
      <c r="D624" s="1"/>
      <c r="E624" s="1"/>
      <c r="F624" s="1"/>
      <c r="G624" s="24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" x14ac:dyDescent="0.2">
      <c r="A625" s="40"/>
      <c r="B625" s="29"/>
      <c r="C625" s="1"/>
      <c r="D625" s="1"/>
      <c r="E625" s="1"/>
      <c r="F625" s="1"/>
      <c r="G625" s="24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" x14ac:dyDescent="0.2">
      <c r="A626" s="40"/>
      <c r="B626" s="29"/>
      <c r="C626" s="1"/>
      <c r="D626" s="1"/>
      <c r="E626" s="1"/>
      <c r="F626" s="1"/>
      <c r="G626" s="24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" x14ac:dyDescent="0.2">
      <c r="A627" s="40"/>
      <c r="B627" s="29"/>
      <c r="C627" s="1"/>
      <c r="D627" s="1"/>
      <c r="E627" s="1"/>
      <c r="F627" s="1"/>
      <c r="G627" s="24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" x14ac:dyDescent="0.2">
      <c r="A628" s="40"/>
      <c r="B628" s="29"/>
      <c r="C628" s="1"/>
      <c r="D628" s="1"/>
      <c r="E628" s="1"/>
      <c r="F628" s="1"/>
      <c r="G628" s="24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" x14ac:dyDescent="0.2">
      <c r="A629" s="40"/>
      <c r="B629" s="29"/>
      <c r="C629" s="1"/>
      <c r="D629" s="1"/>
      <c r="E629" s="1"/>
      <c r="F629" s="1"/>
      <c r="G629" s="24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" x14ac:dyDescent="0.2">
      <c r="A630" s="40"/>
      <c r="B630" s="29"/>
      <c r="C630" s="1"/>
      <c r="D630" s="1"/>
      <c r="E630" s="1"/>
      <c r="F630" s="1"/>
      <c r="G630" s="24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" x14ac:dyDescent="0.2">
      <c r="A631" s="40"/>
      <c r="B631" s="29"/>
      <c r="C631" s="1"/>
      <c r="D631" s="1"/>
      <c r="E631" s="1"/>
      <c r="F631" s="1"/>
      <c r="G631" s="24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" x14ac:dyDescent="0.2">
      <c r="A632" s="40"/>
      <c r="B632" s="29"/>
      <c r="C632" s="1"/>
      <c r="D632" s="1"/>
      <c r="E632" s="1"/>
      <c r="F632" s="1"/>
      <c r="G632" s="24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" x14ac:dyDescent="0.2">
      <c r="A633" s="40"/>
      <c r="B633" s="29"/>
      <c r="C633" s="1"/>
      <c r="D633" s="1"/>
      <c r="E633" s="1"/>
      <c r="F633" s="1"/>
      <c r="G633" s="24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" x14ac:dyDescent="0.2">
      <c r="A634" s="40"/>
      <c r="B634" s="29"/>
      <c r="C634" s="1"/>
      <c r="D634" s="1"/>
      <c r="E634" s="1"/>
      <c r="F634" s="1"/>
      <c r="G634" s="24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" x14ac:dyDescent="0.2">
      <c r="A635" s="40"/>
      <c r="B635" s="29"/>
      <c r="C635" s="1"/>
      <c r="D635" s="1"/>
      <c r="E635" s="1"/>
      <c r="F635" s="1"/>
      <c r="G635" s="24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" x14ac:dyDescent="0.2">
      <c r="A636" s="40"/>
      <c r="B636" s="29"/>
      <c r="C636" s="1"/>
      <c r="D636" s="1"/>
      <c r="E636" s="1"/>
      <c r="F636" s="1"/>
      <c r="G636" s="24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" x14ac:dyDescent="0.2">
      <c r="A637" s="40"/>
      <c r="B637" s="29"/>
      <c r="C637" s="1"/>
      <c r="D637" s="1"/>
      <c r="E637" s="1"/>
      <c r="F637" s="1"/>
      <c r="G637" s="24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" x14ac:dyDescent="0.2">
      <c r="A638" s="40"/>
      <c r="B638" s="29"/>
      <c r="C638" s="1"/>
      <c r="D638" s="1"/>
      <c r="E638" s="1"/>
      <c r="F638" s="1"/>
      <c r="G638" s="24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" x14ac:dyDescent="0.2">
      <c r="A639" s="40"/>
      <c r="B639" s="29"/>
      <c r="C639" s="1"/>
      <c r="D639" s="1"/>
      <c r="E639" s="1"/>
      <c r="F639" s="1"/>
      <c r="G639" s="24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" x14ac:dyDescent="0.2">
      <c r="A640" s="40"/>
      <c r="B640" s="29"/>
      <c r="C640" s="1"/>
      <c r="D640" s="1"/>
      <c r="E640" s="1"/>
      <c r="F640" s="1"/>
      <c r="G640" s="24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" x14ac:dyDescent="0.2">
      <c r="A641" s="40"/>
      <c r="B641" s="29"/>
      <c r="C641" s="1"/>
      <c r="D641" s="1"/>
      <c r="E641" s="1"/>
      <c r="F641" s="1"/>
      <c r="G641" s="24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" x14ac:dyDescent="0.2">
      <c r="A642" s="40"/>
      <c r="B642" s="29"/>
      <c r="C642" s="1"/>
      <c r="D642" s="1"/>
      <c r="E642" s="1"/>
      <c r="F642" s="1"/>
      <c r="G642" s="24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" x14ac:dyDescent="0.2">
      <c r="A643" s="40"/>
      <c r="B643" s="29"/>
      <c r="C643" s="1"/>
      <c r="D643" s="1"/>
      <c r="E643" s="1"/>
      <c r="F643" s="1"/>
      <c r="G643" s="24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" x14ac:dyDescent="0.2">
      <c r="A644" s="40"/>
      <c r="B644" s="29"/>
      <c r="C644" s="1"/>
      <c r="D644" s="1"/>
      <c r="E644" s="1"/>
      <c r="F644" s="1"/>
      <c r="G644" s="24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" x14ac:dyDescent="0.2">
      <c r="A645" s="40"/>
      <c r="B645" s="29"/>
      <c r="C645" s="1"/>
      <c r="D645" s="1"/>
      <c r="E645" s="1"/>
      <c r="F645" s="1"/>
      <c r="G645" s="24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" x14ac:dyDescent="0.2">
      <c r="A646" s="40"/>
      <c r="B646" s="29"/>
      <c r="C646" s="1"/>
      <c r="D646" s="1"/>
      <c r="E646" s="1"/>
      <c r="F646" s="1"/>
      <c r="G646" s="24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" x14ac:dyDescent="0.2">
      <c r="A647" s="40"/>
      <c r="B647" s="29"/>
      <c r="C647" s="1"/>
      <c r="D647" s="1"/>
      <c r="E647" s="1"/>
      <c r="F647" s="1"/>
      <c r="G647" s="24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" x14ac:dyDescent="0.2">
      <c r="A648" s="40"/>
      <c r="B648" s="29"/>
      <c r="C648" s="1"/>
      <c r="D648" s="1"/>
      <c r="E648" s="1"/>
      <c r="F648" s="1"/>
      <c r="G648" s="24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" x14ac:dyDescent="0.2">
      <c r="A649" s="40"/>
      <c r="B649" s="29"/>
      <c r="C649" s="1"/>
      <c r="D649" s="1"/>
      <c r="E649" s="1"/>
      <c r="F649" s="1"/>
      <c r="G649" s="24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" x14ac:dyDescent="0.2">
      <c r="A650" s="40"/>
      <c r="B650" s="29"/>
      <c r="C650" s="1"/>
      <c r="D650" s="1"/>
      <c r="E650" s="1"/>
      <c r="F650" s="1"/>
      <c r="G650" s="24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" x14ac:dyDescent="0.2">
      <c r="A651" s="40"/>
      <c r="B651" s="29"/>
      <c r="C651" s="1"/>
      <c r="D651" s="1"/>
      <c r="E651" s="1"/>
      <c r="F651" s="1"/>
      <c r="G651" s="24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" x14ac:dyDescent="0.2">
      <c r="A652" s="40"/>
      <c r="B652" s="29"/>
      <c r="C652" s="1"/>
      <c r="D652" s="1"/>
      <c r="E652" s="1"/>
      <c r="F652" s="1"/>
      <c r="G652" s="24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" x14ac:dyDescent="0.2">
      <c r="A653" s="40"/>
      <c r="B653" s="29"/>
      <c r="C653" s="1"/>
      <c r="D653" s="1"/>
      <c r="E653" s="1"/>
      <c r="F653" s="1"/>
      <c r="G653" s="24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" x14ac:dyDescent="0.2">
      <c r="A654" s="40"/>
      <c r="B654" s="29"/>
      <c r="C654" s="1"/>
      <c r="D654" s="1"/>
      <c r="E654" s="1"/>
      <c r="F654" s="1"/>
      <c r="G654" s="24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" x14ac:dyDescent="0.2">
      <c r="A655" s="40"/>
      <c r="B655" s="29"/>
      <c r="C655" s="1"/>
      <c r="D655" s="1"/>
      <c r="E655" s="1"/>
      <c r="F655" s="1"/>
      <c r="G655" s="24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" x14ac:dyDescent="0.2">
      <c r="A656" s="40"/>
      <c r="B656" s="29"/>
      <c r="C656" s="1"/>
      <c r="D656" s="1"/>
      <c r="E656" s="1"/>
      <c r="F656" s="1"/>
      <c r="G656" s="24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" x14ac:dyDescent="0.2">
      <c r="A657" s="40"/>
      <c r="B657" s="29"/>
      <c r="C657" s="1"/>
      <c r="D657" s="1"/>
      <c r="E657" s="1"/>
      <c r="F657" s="1"/>
      <c r="G657" s="24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" x14ac:dyDescent="0.2">
      <c r="A658" s="40"/>
      <c r="B658" s="29"/>
      <c r="C658" s="1"/>
      <c r="D658" s="1"/>
      <c r="E658" s="1"/>
      <c r="F658" s="1"/>
      <c r="G658" s="24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" x14ac:dyDescent="0.2">
      <c r="A659" s="40"/>
      <c r="B659" s="29"/>
      <c r="C659" s="1"/>
      <c r="D659" s="1"/>
      <c r="E659" s="1"/>
      <c r="F659" s="1"/>
      <c r="G659" s="24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" x14ac:dyDescent="0.2">
      <c r="A660" s="40"/>
      <c r="B660" s="29"/>
      <c r="C660" s="1"/>
      <c r="D660" s="1"/>
      <c r="E660" s="1"/>
      <c r="F660" s="1"/>
      <c r="G660" s="24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" x14ac:dyDescent="0.2">
      <c r="A661" s="40"/>
      <c r="B661" s="29"/>
      <c r="C661" s="1"/>
      <c r="D661" s="1"/>
      <c r="E661" s="1"/>
      <c r="F661" s="1"/>
      <c r="G661" s="24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" x14ac:dyDescent="0.2">
      <c r="A662" s="40"/>
      <c r="B662" s="29"/>
      <c r="C662" s="1"/>
      <c r="D662" s="1"/>
      <c r="E662" s="1"/>
      <c r="F662" s="1"/>
      <c r="G662" s="24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" x14ac:dyDescent="0.2">
      <c r="A663" s="40"/>
      <c r="B663" s="29"/>
      <c r="C663" s="1"/>
      <c r="D663" s="1"/>
      <c r="E663" s="1"/>
      <c r="F663" s="1"/>
      <c r="G663" s="24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" x14ac:dyDescent="0.2">
      <c r="A664" s="40"/>
      <c r="B664" s="29"/>
      <c r="C664" s="1"/>
      <c r="D664" s="1"/>
      <c r="E664" s="1"/>
      <c r="F664" s="1"/>
      <c r="G664" s="24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" x14ac:dyDescent="0.2">
      <c r="A665" s="40"/>
      <c r="B665" s="29"/>
      <c r="C665" s="1"/>
      <c r="D665" s="1"/>
      <c r="E665" s="1"/>
      <c r="F665" s="1"/>
      <c r="G665" s="24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" x14ac:dyDescent="0.2">
      <c r="A666" s="40"/>
      <c r="B666" s="29"/>
      <c r="C666" s="1"/>
      <c r="D666" s="1"/>
      <c r="E666" s="1"/>
      <c r="F666" s="1"/>
      <c r="G666" s="24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" x14ac:dyDescent="0.2">
      <c r="A667" s="40"/>
      <c r="B667" s="29"/>
      <c r="C667" s="1"/>
      <c r="D667" s="1"/>
      <c r="E667" s="1"/>
      <c r="F667" s="1"/>
      <c r="G667" s="24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" x14ac:dyDescent="0.2">
      <c r="A668" s="40"/>
      <c r="B668" s="29"/>
      <c r="C668" s="1"/>
      <c r="D668" s="1"/>
      <c r="E668" s="1"/>
      <c r="F668" s="1"/>
      <c r="G668" s="24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" x14ac:dyDescent="0.2">
      <c r="A669" s="40"/>
      <c r="B669" s="29"/>
      <c r="C669" s="1"/>
      <c r="D669" s="1"/>
      <c r="E669" s="1"/>
      <c r="F669" s="1"/>
      <c r="G669" s="24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" x14ac:dyDescent="0.2">
      <c r="A670" s="40"/>
      <c r="B670" s="29"/>
      <c r="C670" s="1"/>
      <c r="D670" s="1"/>
      <c r="E670" s="1"/>
      <c r="F670" s="1"/>
      <c r="G670" s="24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" x14ac:dyDescent="0.2">
      <c r="A671" s="40"/>
      <c r="B671" s="29"/>
      <c r="C671" s="1"/>
      <c r="D671" s="1"/>
      <c r="E671" s="1"/>
      <c r="F671" s="1"/>
      <c r="G671" s="24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" x14ac:dyDescent="0.2">
      <c r="A672" s="40"/>
      <c r="B672" s="29"/>
      <c r="C672" s="1"/>
      <c r="D672" s="1"/>
      <c r="E672" s="1"/>
      <c r="F672" s="1"/>
      <c r="G672" s="24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" x14ac:dyDescent="0.2">
      <c r="A673" s="40"/>
      <c r="B673" s="29"/>
      <c r="C673" s="1"/>
      <c r="D673" s="1"/>
      <c r="E673" s="1"/>
      <c r="F673" s="1"/>
      <c r="G673" s="24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" x14ac:dyDescent="0.2">
      <c r="A674" s="40"/>
      <c r="B674" s="29"/>
      <c r="C674" s="1"/>
      <c r="D674" s="1"/>
      <c r="E674" s="1"/>
      <c r="F674" s="1"/>
      <c r="G674" s="24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" x14ac:dyDescent="0.2">
      <c r="A675" s="40"/>
      <c r="B675" s="29"/>
      <c r="C675" s="1"/>
      <c r="D675" s="1"/>
      <c r="E675" s="1"/>
      <c r="F675" s="1"/>
      <c r="G675" s="24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" x14ac:dyDescent="0.2">
      <c r="A676" s="40"/>
      <c r="B676" s="29"/>
      <c r="C676" s="1"/>
      <c r="D676" s="1"/>
      <c r="E676" s="1"/>
      <c r="F676" s="1"/>
      <c r="G676" s="24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" x14ac:dyDescent="0.2">
      <c r="A677" s="40"/>
      <c r="B677" s="29"/>
      <c r="C677" s="1"/>
      <c r="D677" s="1"/>
      <c r="E677" s="1"/>
      <c r="F677" s="1"/>
      <c r="G677" s="24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" x14ac:dyDescent="0.2">
      <c r="A678" s="40"/>
      <c r="B678" s="29"/>
      <c r="C678" s="1"/>
      <c r="D678" s="1"/>
      <c r="E678" s="1"/>
      <c r="F678" s="1"/>
      <c r="G678" s="24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" x14ac:dyDescent="0.2">
      <c r="A679" s="40"/>
      <c r="B679" s="29"/>
      <c r="C679" s="1"/>
      <c r="D679" s="1"/>
      <c r="E679" s="1"/>
      <c r="F679" s="1"/>
      <c r="G679" s="24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" x14ac:dyDescent="0.2">
      <c r="A680" s="40"/>
      <c r="B680" s="29"/>
      <c r="C680" s="1"/>
      <c r="D680" s="1"/>
      <c r="E680" s="1"/>
      <c r="F680" s="1"/>
      <c r="G680" s="24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" x14ac:dyDescent="0.2">
      <c r="A681" s="40"/>
      <c r="B681" s="29"/>
      <c r="C681" s="1"/>
      <c r="D681" s="1"/>
      <c r="E681" s="1"/>
      <c r="F681" s="1"/>
      <c r="G681" s="24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" x14ac:dyDescent="0.2">
      <c r="A682" s="40"/>
      <c r="B682" s="29"/>
      <c r="C682" s="1"/>
      <c r="D682" s="1"/>
      <c r="E682" s="1"/>
      <c r="F682" s="1"/>
      <c r="G682" s="24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" x14ac:dyDescent="0.2">
      <c r="A683" s="40"/>
      <c r="B683" s="29"/>
      <c r="C683" s="1"/>
      <c r="D683" s="1"/>
      <c r="E683" s="1"/>
      <c r="F683" s="1"/>
      <c r="G683" s="24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" x14ac:dyDescent="0.2">
      <c r="A684" s="40"/>
      <c r="B684" s="29"/>
      <c r="C684" s="1"/>
      <c r="D684" s="1"/>
      <c r="E684" s="1"/>
      <c r="F684" s="1"/>
      <c r="G684" s="24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" x14ac:dyDescent="0.2">
      <c r="A685" s="40"/>
      <c r="B685" s="29"/>
      <c r="C685" s="1"/>
      <c r="D685" s="1"/>
      <c r="E685" s="1"/>
      <c r="F685" s="1"/>
      <c r="G685" s="24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" x14ac:dyDescent="0.2">
      <c r="A686" s="40"/>
      <c r="B686" s="29"/>
      <c r="C686" s="1"/>
      <c r="D686" s="1"/>
      <c r="E686" s="1"/>
      <c r="F686" s="1"/>
      <c r="G686" s="24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" x14ac:dyDescent="0.2">
      <c r="A687" s="40"/>
      <c r="B687" s="29"/>
      <c r="C687" s="1"/>
      <c r="D687" s="1"/>
      <c r="E687" s="1"/>
      <c r="F687" s="1"/>
      <c r="G687" s="24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" x14ac:dyDescent="0.2">
      <c r="A688" s="40"/>
      <c r="B688" s="29"/>
      <c r="C688" s="1"/>
      <c r="D688" s="1"/>
      <c r="E688" s="1"/>
      <c r="F688" s="1"/>
      <c r="G688" s="24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" x14ac:dyDescent="0.2">
      <c r="A689" s="40"/>
      <c r="B689" s="29"/>
      <c r="C689" s="1"/>
      <c r="D689" s="1"/>
      <c r="E689" s="1"/>
      <c r="F689" s="1"/>
      <c r="G689" s="24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" x14ac:dyDescent="0.2">
      <c r="A690" s="40"/>
      <c r="B690" s="29"/>
      <c r="C690" s="1"/>
      <c r="D690" s="1"/>
      <c r="E690" s="1"/>
      <c r="F690" s="1"/>
      <c r="G690" s="24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" x14ac:dyDescent="0.2">
      <c r="A691" s="40"/>
      <c r="B691" s="29"/>
      <c r="C691" s="1"/>
      <c r="D691" s="1"/>
      <c r="E691" s="1"/>
      <c r="F691" s="1"/>
      <c r="G691" s="24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" x14ac:dyDescent="0.2">
      <c r="A692" s="40"/>
      <c r="B692" s="29"/>
      <c r="C692" s="1"/>
      <c r="D692" s="1"/>
      <c r="E692" s="1"/>
      <c r="F692" s="1"/>
      <c r="G692" s="24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" x14ac:dyDescent="0.2">
      <c r="A693" s="40"/>
      <c r="B693" s="29"/>
      <c r="C693" s="1"/>
      <c r="D693" s="1"/>
      <c r="E693" s="1"/>
      <c r="F693" s="1"/>
      <c r="G693" s="24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" x14ac:dyDescent="0.2">
      <c r="A694" s="40"/>
      <c r="B694" s="29"/>
      <c r="C694" s="1"/>
      <c r="D694" s="1"/>
      <c r="E694" s="1"/>
      <c r="F694" s="1"/>
      <c r="G694" s="24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" x14ac:dyDescent="0.2">
      <c r="A695" s="40"/>
      <c r="B695" s="29"/>
      <c r="C695" s="1"/>
      <c r="D695" s="1"/>
      <c r="E695" s="1"/>
      <c r="F695" s="1"/>
      <c r="G695" s="24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" x14ac:dyDescent="0.2">
      <c r="A696" s="40"/>
      <c r="B696" s="29"/>
      <c r="C696" s="1"/>
      <c r="D696" s="1"/>
      <c r="E696" s="1"/>
      <c r="F696" s="1"/>
      <c r="G696" s="24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" x14ac:dyDescent="0.2">
      <c r="A697" s="40"/>
      <c r="B697" s="29"/>
      <c r="C697" s="1"/>
      <c r="D697" s="1"/>
      <c r="E697" s="1"/>
      <c r="F697" s="1"/>
      <c r="G697" s="24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" x14ac:dyDescent="0.2">
      <c r="A698" s="40"/>
      <c r="B698" s="29"/>
      <c r="C698" s="1"/>
      <c r="D698" s="1"/>
      <c r="E698" s="1"/>
      <c r="F698" s="1"/>
      <c r="G698" s="24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" x14ac:dyDescent="0.2">
      <c r="A699" s="40"/>
      <c r="B699" s="29"/>
      <c r="C699" s="1"/>
      <c r="D699" s="1"/>
      <c r="E699" s="1"/>
      <c r="F699" s="1"/>
      <c r="G699" s="24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" x14ac:dyDescent="0.2">
      <c r="A700" s="40"/>
      <c r="B700" s="29"/>
      <c r="C700" s="1"/>
      <c r="D700" s="1"/>
      <c r="E700" s="1"/>
      <c r="F700" s="1"/>
      <c r="G700" s="24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" x14ac:dyDescent="0.2">
      <c r="A701" s="40"/>
      <c r="B701" s="29"/>
      <c r="C701" s="1"/>
      <c r="D701" s="1"/>
      <c r="E701" s="1"/>
      <c r="F701" s="1"/>
      <c r="G701" s="24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" x14ac:dyDescent="0.2">
      <c r="A702" s="40"/>
      <c r="B702" s="29"/>
      <c r="C702" s="1"/>
      <c r="D702" s="1"/>
      <c r="E702" s="1"/>
      <c r="F702" s="1"/>
      <c r="G702" s="24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" x14ac:dyDescent="0.2">
      <c r="A703" s="40"/>
      <c r="B703" s="29"/>
      <c r="C703" s="1"/>
      <c r="D703" s="1"/>
      <c r="E703" s="1"/>
      <c r="F703" s="1"/>
      <c r="G703" s="24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" x14ac:dyDescent="0.2">
      <c r="A704" s="40"/>
      <c r="B704" s="29"/>
      <c r="C704" s="1"/>
      <c r="D704" s="1"/>
      <c r="E704" s="1"/>
      <c r="F704" s="1"/>
      <c r="G704" s="24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" x14ac:dyDescent="0.2">
      <c r="A705" s="40"/>
      <c r="B705" s="29"/>
      <c r="C705" s="1"/>
      <c r="D705" s="1"/>
      <c r="E705" s="1"/>
      <c r="F705" s="1"/>
      <c r="G705" s="24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" x14ac:dyDescent="0.2">
      <c r="A706" s="40"/>
      <c r="B706" s="29"/>
      <c r="C706" s="1"/>
      <c r="D706" s="1"/>
      <c r="E706" s="1"/>
      <c r="F706" s="1"/>
      <c r="G706" s="24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" x14ac:dyDescent="0.2">
      <c r="A707" s="40"/>
      <c r="B707" s="29"/>
      <c r="C707" s="1"/>
      <c r="D707" s="1"/>
      <c r="E707" s="1"/>
      <c r="F707" s="1"/>
      <c r="G707" s="24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" x14ac:dyDescent="0.2">
      <c r="A708" s="40"/>
      <c r="B708" s="29"/>
      <c r="C708" s="1"/>
      <c r="D708" s="1"/>
      <c r="E708" s="1"/>
      <c r="F708" s="1"/>
      <c r="G708" s="24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" x14ac:dyDescent="0.2">
      <c r="A709" s="40"/>
      <c r="B709" s="29"/>
      <c r="C709" s="1"/>
      <c r="D709" s="1"/>
      <c r="E709" s="1"/>
      <c r="F709" s="1"/>
      <c r="G709" s="24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" x14ac:dyDescent="0.2">
      <c r="A710" s="40"/>
      <c r="B710" s="29"/>
      <c r="C710" s="1"/>
      <c r="D710" s="1"/>
      <c r="E710" s="1"/>
      <c r="F710" s="1"/>
      <c r="G710" s="24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" x14ac:dyDescent="0.2">
      <c r="A711" s="40"/>
      <c r="B711" s="29"/>
      <c r="C711" s="1"/>
      <c r="D711" s="1"/>
      <c r="E711" s="1"/>
      <c r="F711" s="1"/>
      <c r="G711" s="24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" x14ac:dyDescent="0.2">
      <c r="A712" s="40"/>
      <c r="B712" s="29"/>
      <c r="C712" s="1"/>
      <c r="D712" s="1"/>
      <c r="E712" s="1"/>
      <c r="F712" s="1"/>
      <c r="G712" s="24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" x14ac:dyDescent="0.2">
      <c r="A713" s="40"/>
      <c r="B713" s="29"/>
      <c r="C713" s="1"/>
      <c r="D713" s="1"/>
      <c r="E713" s="1"/>
      <c r="F713" s="1"/>
      <c r="G713" s="24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" x14ac:dyDescent="0.2">
      <c r="A714" s="40"/>
      <c r="B714" s="29"/>
      <c r="C714" s="1"/>
      <c r="D714" s="1"/>
      <c r="E714" s="1"/>
      <c r="F714" s="1"/>
      <c r="G714" s="24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" x14ac:dyDescent="0.2">
      <c r="A715" s="40"/>
      <c r="B715" s="29"/>
      <c r="C715" s="1"/>
      <c r="D715" s="1"/>
      <c r="E715" s="1"/>
      <c r="F715" s="1"/>
      <c r="G715" s="24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" x14ac:dyDescent="0.2">
      <c r="A716" s="40"/>
      <c r="B716" s="29"/>
      <c r="C716" s="1"/>
      <c r="D716" s="1"/>
      <c r="E716" s="1"/>
      <c r="F716" s="1"/>
      <c r="G716" s="24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" x14ac:dyDescent="0.2">
      <c r="A717" s="40"/>
      <c r="B717" s="29"/>
      <c r="C717" s="1"/>
      <c r="D717" s="1"/>
      <c r="E717" s="1"/>
      <c r="F717" s="1"/>
      <c r="G717" s="24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" x14ac:dyDescent="0.2">
      <c r="A718" s="40"/>
      <c r="B718" s="29"/>
      <c r="C718" s="1"/>
      <c r="D718" s="1"/>
      <c r="E718" s="1"/>
      <c r="F718" s="1"/>
      <c r="G718" s="24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" x14ac:dyDescent="0.2">
      <c r="A719" s="40"/>
      <c r="B719" s="29"/>
      <c r="C719" s="1"/>
      <c r="D719" s="1"/>
      <c r="E719" s="1"/>
      <c r="F719" s="1"/>
      <c r="G719" s="24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" x14ac:dyDescent="0.2">
      <c r="A720" s="40"/>
      <c r="B720" s="29"/>
      <c r="C720" s="1"/>
      <c r="D720" s="1"/>
      <c r="E720" s="1"/>
      <c r="F720" s="1"/>
      <c r="G720" s="24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" x14ac:dyDescent="0.2">
      <c r="A721" s="40"/>
      <c r="B721" s="29"/>
      <c r="C721" s="1"/>
      <c r="D721" s="1"/>
      <c r="E721" s="1"/>
      <c r="F721" s="1"/>
      <c r="G721" s="24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" x14ac:dyDescent="0.2">
      <c r="A722" s="40"/>
      <c r="B722" s="29"/>
      <c r="C722" s="1"/>
      <c r="D722" s="1"/>
      <c r="E722" s="1"/>
      <c r="F722" s="1"/>
      <c r="G722" s="24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" x14ac:dyDescent="0.2">
      <c r="A723" s="40"/>
      <c r="B723" s="29"/>
      <c r="C723" s="1"/>
      <c r="D723" s="1"/>
      <c r="E723" s="1"/>
      <c r="F723" s="1"/>
      <c r="G723" s="24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" x14ac:dyDescent="0.2">
      <c r="A724" s="40"/>
      <c r="B724" s="29"/>
      <c r="C724" s="1"/>
      <c r="D724" s="1"/>
      <c r="E724" s="1"/>
      <c r="F724" s="1"/>
      <c r="G724" s="24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" x14ac:dyDescent="0.2">
      <c r="A725" s="40"/>
      <c r="B725" s="29"/>
      <c r="C725" s="1"/>
      <c r="D725" s="1"/>
      <c r="E725" s="1"/>
      <c r="F725" s="1"/>
      <c r="G725" s="24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" x14ac:dyDescent="0.2">
      <c r="A726" s="40"/>
      <c r="B726" s="29"/>
      <c r="C726" s="1"/>
      <c r="D726" s="1"/>
      <c r="E726" s="1"/>
      <c r="F726" s="1"/>
      <c r="G726" s="24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" x14ac:dyDescent="0.2">
      <c r="A727" s="40"/>
      <c r="B727" s="29"/>
      <c r="C727" s="1"/>
      <c r="D727" s="1"/>
      <c r="E727" s="1"/>
      <c r="F727" s="1"/>
      <c r="G727" s="24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" x14ac:dyDescent="0.2">
      <c r="A728" s="40"/>
      <c r="B728" s="29"/>
      <c r="C728" s="1"/>
      <c r="D728" s="1"/>
      <c r="E728" s="1"/>
      <c r="F728" s="1"/>
      <c r="G728" s="24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" x14ac:dyDescent="0.2">
      <c r="A729" s="40"/>
      <c r="B729" s="29"/>
      <c r="C729" s="1"/>
      <c r="D729" s="1"/>
      <c r="E729" s="1"/>
      <c r="F729" s="1"/>
      <c r="G729" s="24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" x14ac:dyDescent="0.2">
      <c r="A730" s="40"/>
      <c r="B730" s="29"/>
      <c r="C730" s="1"/>
      <c r="D730" s="1"/>
      <c r="E730" s="1"/>
      <c r="F730" s="1"/>
      <c r="G730" s="24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" x14ac:dyDescent="0.2">
      <c r="A731" s="40"/>
      <c r="B731" s="29"/>
      <c r="C731" s="1"/>
      <c r="D731" s="1"/>
      <c r="E731" s="1"/>
      <c r="F731" s="1"/>
      <c r="G731" s="24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" x14ac:dyDescent="0.2">
      <c r="A732" s="40"/>
      <c r="B732" s="29"/>
      <c r="C732" s="1"/>
      <c r="D732" s="1"/>
      <c r="E732" s="1"/>
      <c r="F732" s="1"/>
      <c r="G732" s="24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" x14ac:dyDescent="0.2">
      <c r="A733" s="40"/>
      <c r="B733" s="29"/>
      <c r="C733" s="1"/>
      <c r="D733" s="1"/>
      <c r="E733" s="1"/>
      <c r="F733" s="1"/>
      <c r="G733" s="24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" x14ac:dyDescent="0.2">
      <c r="A734" s="40"/>
      <c r="B734" s="29"/>
      <c r="C734" s="1"/>
      <c r="D734" s="1"/>
      <c r="E734" s="1"/>
      <c r="F734" s="1"/>
      <c r="G734" s="24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" x14ac:dyDescent="0.2">
      <c r="A735" s="40"/>
      <c r="B735" s="29"/>
      <c r="C735" s="1"/>
      <c r="D735" s="1"/>
      <c r="E735" s="1"/>
      <c r="F735" s="1"/>
      <c r="G735" s="24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" x14ac:dyDescent="0.2">
      <c r="A736" s="40"/>
      <c r="B736" s="29"/>
      <c r="C736" s="1"/>
      <c r="D736" s="1"/>
      <c r="E736" s="1"/>
      <c r="F736" s="1"/>
      <c r="G736" s="24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" x14ac:dyDescent="0.2">
      <c r="A737" s="40"/>
      <c r="B737" s="29"/>
      <c r="C737" s="1"/>
      <c r="D737" s="1"/>
      <c r="E737" s="1"/>
      <c r="F737" s="1"/>
      <c r="G737" s="24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" x14ac:dyDescent="0.2">
      <c r="A738" s="40"/>
      <c r="B738" s="29"/>
      <c r="C738" s="1"/>
      <c r="D738" s="1"/>
      <c r="E738" s="1"/>
      <c r="F738" s="1"/>
      <c r="G738" s="24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" x14ac:dyDescent="0.2">
      <c r="A739" s="40"/>
      <c r="B739" s="29"/>
      <c r="C739" s="1"/>
      <c r="D739" s="1"/>
      <c r="E739" s="1"/>
      <c r="F739" s="1"/>
      <c r="G739" s="24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" x14ac:dyDescent="0.2">
      <c r="A740" s="40"/>
      <c r="B740" s="29"/>
      <c r="C740" s="1"/>
      <c r="D740" s="1"/>
      <c r="E740" s="1"/>
      <c r="F740" s="1"/>
      <c r="G740" s="24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" x14ac:dyDescent="0.2">
      <c r="A741" s="40"/>
      <c r="B741" s="29"/>
      <c r="C741" s="1"/>
      <c r="D741" s="1"/>
      <c r="E741" s="1"/>
      <c r="F741" s="1"/>
      <c r="G741" s="24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" x14ac:dyDescent="0.2">
      <c r="A742" s="40"/>
      <c r="B742" s="29"/>
      <c r="C742" s="1"/>
      <c r="D742" s="1"/>
      <c r="E742" s="1"/>
      <c r="F742" s="1"/>
      <c r="G742" s="24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" x14ac:dyDescent="0.2">
      <c r="A743" s="40"/>
      <c r="B743" s="29"/>
      <c r="C743" s="1"/>
      <c r="D743" s="1"/>
      <c r="E743" s="1"/>
      <c r="F743" s="1"/>
      <c r="G743" s="24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" x14ac:dyDescent="0.2">
      <c r="A744" s="40"/>
      <c r="B744" s="29"/>
      <c r="C744" s="1"/>
      <c r="D744" s="1"/>
      <c r="E744" s="1"/>
      <c r="F744" s="1"/>
      <c r="G744" s="24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" x14ac:dyDescent="0.2">
      <c r="A745" s="40"/>
      <c r="B745" s="29"/>
      <c r="C745" s="1"/>
      <c r="D745" s="1"/>
      <c r="E745" s="1"/>
      <c r="F745" s="1"/>
      <c r="G745" s="24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" x14ac:dyDescent="0.2">
      <c r="A746" s="40"/>
      <c r="B746" s="29"/>
      <c r="C746" s="1"/>
      <c r="D746" s="1"/>
      <c r="E746" s="1"/>
      <c r="F746" s="1"/>
      <c r="G746" s="24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" x14ac:dyDescent="0.2">
      <c r="A747" s="40"/>
      <c r="B747" s="29"/>
      <c r="C747" s="1"/>
      <c r="D747" s="1"/>
      <c r="E747" s="1"/>
      <c r="F747" s="1"/>
      <c r="G747" s="24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" x14ac:dyDescent="0.2">
      <c r="A748" s="40"/>
      <c r="B748" s="29"/>
      <c r="C748" s="1"/>
      <c r="D748" s="1"/>
      <c r="E748" s="1"/>
      <c r="F748" s="1"/>
      <c r="G748" s="24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" x14ac:dyDescent="0.2">
      <c r="A749" s="40"/>
      <c r="B749" s="29"/>
      <c r="C749" s="1"/>
      <c r="D749" s="1"/>
      <c r="E749" s="1"/>
      <c r="F749" s="1"/>
      <c r="G749" s="24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" x14ac:dyDescent="0.2">
      <c r="A750" s="40"/>
      <c r="B750" s="29"/>
      <c r="C750" s="1"/>
      <c r="D750" s="1"/>
      <c r="E750" s="1"/>
      <c r="F750" s="1"/>
      <c r="G750" s="24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" x14ac:dyDescent="0.2">
      <c r="A751" s="40"/>
      <c r="B751" s="29"/>
      <c r="C751" s="1"/>
      <c r="D751" s="1"/>
      <c r="E751" s="1"/>
      <c r="F751" s="1"/>
      <c r="G751" s="24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" x14ac:dyDescent="0.2">
      <c r="A752" s="40"/>
      <c r="B752" s="29"/>
      <c r="C752" s="1"/>
      <c r="D752" s="1"/>
      <c r="E752" s="1"/>
      <c r="F752" s="1"/>
      <c r="G752" s="24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" x14ac:dyDescent="0.2">
      <c r="A753" s="40"/>
      <c r="B753" s="29"/>
      <c r="C753" s="1"/>
      <c r="D753" s="1"/>
      <c r="E753" s="1"/>
      <c r="F753" s="1"/>
      <c r="G753" s="24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" x14ac:dyDescent="0.2">
      <c r="A754" s="40"/>
      <c r="B754" s="29"/>
      <c r="C754" s="1"/>
      <c r="D754" s="1"/>
      <c r="E754" s="1"/>
      <c r="F754" s="1"/>
      <c r="G754" s="24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" x14ac:dyDescent="0.2">
      <c r="A755" s="40"/>
      <c r="B755" s="29"/>
      <c r="C755" s="1"/>
      <c r="D755" s="1"/>
      <c r="E755" s="1"/>
      <c r="F755" s="1"/>
      <c r="G755" s="24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" x14ac:dyDescent="0.2">
      <c r="A756" s="40"/>
      <c r="B756" s="29"/>
      <c r="C756" s="1"/>
      <c r="D756" s="1"/>
      <c r="E756" s="1"/>
      <c r="F756" s="1"/>
      <c r="G756" s="24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" x14ac:dyDescent="0.2">
      <c r="A757" s="40"/>
      <c r="B757" s="29"/>
      <c r="C757" s="1"/>
      <c r="D757" s="1"/>
      <c r="E757" s="1"/>
      <c r="F757" s="1"/>
      <c r="G757" s="24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" x14ac:dyDescent="0.2">
      <c r="A758" s="40"/>
      <c r="B758" s="29"/>
      <c r="C758" s="1"/>
      <c r="D758" s="1"/>
      <c r="E758" s="1"/>
      <c r="F758" s="1"/>
      <c r="G758" s="24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" x14ac:dyDescent="0.2">
      <c r="A759" s="40"/>
      <c r="B759" s="29"/>
      <c r="C759" s="1"/>
      <c r="D759" s="1"/>
      <c r="E759" s="1"/>
      <c r="F759" s="1"/>
      <c r="G759" s="24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" x14ac:dyDescent="0.2">
      <c r="A760" s="40"/>
      <c r="B760" s="29"/>
      <c r="C760" s="1"/>
      <c r="D760" s="1"/>
      <c r="E760" s="1"/>
      <c r="F760" s="1"/>
      <c r="G760" s="24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" x14ac:dyDescent="0.2">
      <c r="A761" s="40"/>
      <c r="B761" s="29"/>
      <c r="C761" s="1"/>
      <c r="D761" s="1"/>
      <c r="E761" s="1"/>
      <c r="F761" s="1"/>
      <c r="G761" s="24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" x14ac:dyDescent="0.2">
      <c r="A762" s="40"/>
      <c r="B762" s="29"/>
      <c r="C762" s="1"/>
      <c r="D762" s="1"/>
      <c r="E762" s="1"/>
      <c r="F762" s="1"/>
      <c r="G762" s="24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" x14ac:dyDescent="0.2">
      <c r="A763" s="40"/>
      <c r="B763" s="29"/>
      <c r="C763" s="1"/>
      <c r="D763" s="1"/>
      <c r="E763" s="1"/>
      <c r="F763" s="1"/>
      <c r="G763" s="24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" x14ac:dyDescent="0.2">
      <c r="A764" s="40"/>
      <c r="B764" s="29"/>
      <c r="C764" s="1"/>
      <c r="D764" s="1"/>
      <c r="E764" s="1"/>
      <c r="F764" s="1"/>
      <c r="G764" s="24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" x14ac:dyDescent="0.2">
      <c r="A765" s="40"/>
      <c r="B765" s="29"/>
      <c r="C765" s="1"/>
      <c r="D765" s="1"/>
      <c r="E765" s="1"/>
      <c r="F765" s="1"/>
      <c r="G765" s="24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" x14ac:dyDescent="0.2">
      <c r="A766" s="40"/>
      <c r="B766" s="29"/>
      <c r="C766" s="1"/>
      <c r="D766" s="1"/>
      <c r="E766" s="1"/>
      <c r="F766" s="1"/>
      <c r="G766" s="24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" x14ac:dyDescent="0.2">
      <c r="A767" s="40"/>
      <c r="B767" s="29"/>
      <c r="C767" s="1"/>
      <c r="D767" s="1"/>
      <c r="E767" s="1"/>
      <c r="F767" s="1"/>
      <c r="G767" s="24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" x14ac:dyDescent="0.2">
      <c r="A768" s="40"/>
      <c r="B768" s="29"/>
      <c r="C768" s="1"/>
      <c r="D768" s="1"/>
      <c r="E768" s="1"/>
      <c r="F768" s="1"/>
      <c r="G768" s="24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" x14ac:dyDescent="0.2">
      <c r="A769" s="40"/>
      <c r="B769" s="29"/>
      <c r="C769" s="1"/>
      <c r="D769" s="1"/>
      <c r="E769" s="1"/>
      <c r="F769" s="1"/>
      <c r="G769" s="24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" x14ac:dyDescent="0.2">
      <c r="A770" s="40"/>
      <c r="B770" s="29"/>
      <c r="C770" s="1"/>
      <c r="D770" s="1"/>
      <c r="E770" s="1"/>
      <c r="F770" s="1"/>
      <c r="G770" s="24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" x14ac:dyDescent="0.2">
      <c r="A771" s="40"/>
      <c r="B771" s="29"/>
      <c r="C771" s="1"/>
      <c r="D771" s="1"/>
      <c r="E771" s="1"/>
      <c r="F771" s="1"/>
      <c r="G771" s="24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" x14ac:dyDescent="0.2">
      <c r="A772" s="40"/>
      <c r="B772" s="29"/>
      <c r="C772" s="1"/>
      <c r="D772" s="1"/>
      <c r="E772" s="1"/>
      <c r="F772" s="1"/>
      <c r="G772" s="24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" x14ac:dyDescent="0.2">
      <c r="A773" s="40"/>
      <c r="B773" s="29"/>
      <c r="C773" s="1"/>
      <c r="D773" s="1"/>
      <c r="E773" s="1"/>
      <c r="F773" s="1"/>
      <c r="G773" s="24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" x14ac:dyDescent="0.2">
      <c r="A774" s="40"/>
      <c r="B774" s="29"/>
      <c r="C774" s="1"/>
      <c r="D774" s="1"/>
      <c r="E774" s="1"/>
      <c r="F774" s="1"/>
      <c r="G774" s="24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" x14ac:dyDescent="0.2">
      <c r="A775" s="40"/>
      <c r="B775" s="29"/>
      <c r="C775" s="1"/>
      <c r="D775" s="1"/>
      <c r="E775" s="1"/>
      <c r="F775" s="1"/>
      <c r="G775" s="24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" x14ac:dyDescent="0.2">
      <c r="A776" s="40"/>
      <c r="B776" s="29"/>
      <c r="C776" s="1"/>
      <c r="D776" s="1"/>
      <c r="E776" s="1"/>
      <c r="F776" s="1"/>
      <c r="G776" s="24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" x14ac:dyDescent="0.2">
      <c r="A777" s="40"/>
      <c r="B777" s="29"/>
      <c r="C777" s="1"/>
      <c r="D777" s="1"/>
      <c r="E777" s="1"/>
      <c r="F777" s="1"/>
      <c r="G777" s="24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" x14ac:dyDescent="0.2">
      <c r="A778" s="40"/>
      <c r="B778" s="29"/>
      <c r="C778" s="1"/>
      <c r="D778" s="1"/>
      <c r="E778" s="1"/>
      <c r="F778" s="1"/>
      <c r="G778" s="24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" x14ac:dyDescent="0.2">
      <c r="A779" s="40"/>
      <c r="B779" s="29"/>
      <c r="C779" s="1"/>
      <c r="D779" s="1"/>
      <c r="E779" s="1"/>
      <c r="F779" s="1"/>
      <c r="G779" s="24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" x14ac:dyDescent="0.2">
      <c r="A780" s="40"/>
      <c r="B780" s="29"/>
      <c r="C780" s="1"/>
      <c r="D780" s="1"/>
      <c r="E780" s="1"/>
      <c r="F780" s="1"/>
      <c r="G780" s="24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" x14ac:dyDescent="0.2">
      <c r="A781" s="40"/>
      <c r="B781" s="29"/>
      <c r="C781" s="1"/>
      <c r="D781" s="1"/>
      <c r="E781" s="1"/>
      <c r="F781" s="1"/>
      <c r="G781" s="24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" x14ac:dyDescent="0.2">
      <c r="A782" s="40"/>
      <c r="B782" s="29"/>
      <c r="C782" s="1"/>
      <c r="D782" s="1"/>
      <c r="E782" s="1"/>
      <c r="F782" s="1"/>
      <c r="G782" s="24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" x14ac:dyDescent="0.2">
      <c r="A783" s="40"/>
      <c r="B783" s="29"/>
      <c r="C783" s="1"/>
      <c r="D783" s="1"/>
      <c r="E783" s="1"/>
      <c r="F783" s="1"/>
      <c r="G783" s="24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" x14ac:dyDescent="0.2">
      <c r="A784" s="40"/>
      <c r="B784" s="29"/>
      <c r="C784" s="1"/>
      <c r="D784" s="1"/>
      <c r="E784" s="1"/>
      <c r="F784" s="1"/>
      <c r="G784" s="24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" x14ac:dyDescent="0.2">
      <c r="A785" s="40"/>
      <c r="B785" s="29"/>
      <c r="C785" s="1"/>
      <c r="D785" s="1"/>
      <c r="E785" s="1"/>
      <c r="F785" s="1"/>
      <c r="G785" s="24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" x14ac:dyDescent="0.2">
      <c r="A786" s="40"/>
      <c r="B786" s="29"/>
      <c r="C786" s="1"/>
      <c r="D786" s="1"/>
      <c r="E786" s="1"/>
      <c r="F786" s="1"/>
      <c r="G786" s="24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" x14ac:dyDescent="0.2">
      <c r="A787" s="40"/>
      <c r="B787" s="29"/>
      <c r="C787" s="1"/>
      <c r="D787" s="1"/>
      <c r="E787" s="1"/>
      <c r="F787" s="1"/>
      <c r="G787" s="24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" x14ac:dyDescent="0.2">
      <c r="A788" s="40"/>
      <c r="B788" s="29"/>
      <c r="C788" s="1"/>
      <c r="D788" s="1"/>
      <c r="E788" s="1"/>
      <c r="F788" s="1"/>
      <c r="G788" s="24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" x14ac:dyDescent="0.2">
      <c r="A789" s="40"/>
      <c r="B789" s="29"/>
      <c r="C789" s="1"/>
      <c r="D789" s="1"/>
      <c r="E789" s="1"/>
      <c r="F789" s="1"/>
      <c r="G789" s="24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" x14ac:dyDescent="0.2">
      <c r="A790" s="40"/>
      <c r="B790" s="29"/>
      <c r="C790" s="1"/>
      <c r="D790" s="1"/>
      <c r="E790" s="1"/>
      <c r="F790" s="1"/>
      <c r="G790" s="24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" x14ac:dyDescent="0.2">
      <c r="A791" s="40"/>
      <c r="B791" s="29"/>
      <c r="C791" s="1"/>
      <c r="D791" s="1"/>
      <c r="E791" s="1"/>
      <c r="F791" s="1"/>
      <c r="G791" s="24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" x14ac:dyDescent="0.2">
      <c r="A792" s="40"/>
      <c r="B792" s="29"/>
      <c r="C792" s="1"/>
      <c r="D792" s="1"/>
      <c r="E792" s="1"/>
      <c r="F792" s="1"/>
      <c r="G792" s="24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" x14ac:dyDescent="0.2">
      <c r="A793" s="40"/>
      <c r="B793" s="29"/>
      <c r="C793" s="1"/>
      <c r="D793" s="1"/>
      <c r="E793" s="1"/>
      <c r="F793" s="1"/>
      <c r="G793" s="24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" x14ac:dyDescent="0.2">
      <c r="A794" s="40"/>
      <c r="B794" s="29"/>
      <c r="C794" s="1"/>
      <c r="D794" s="1"/>
      <c r="E794" s="1"/>
      <c r="F794" s="1"/>
      <c r="G794" s="24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" x14ac:dyDescent="0.2">
      <c r="A795" s="40"/>
      <c r="B795" s="29"/>
      <c r="C795" s="1"/>
      <c r="D795" s="1"/>
      <c r="E795" s="1"/>
      <c r="F795" s="1"/>
      <c r="G795" s="24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" x14ac:dyDescent="0.2">
      <c r="A796" s="40"/>
      <c r="B796" s="29"/>
      <c r="C796" s="1"/>
      <c r="D796" s="1"/>
      <c r="E796" s="1"/>
      <c r="F796" s="1"/>
      <c r="G796" s="24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" x14ac:dyDescent="0.2">
      <c r="A797" s="40"/>
      <c r="B797" s="29"/>
      <c r="C797" s="1"/>
      <c r="D797" s="1"/>
      <c r="E797" s="1"/>
      <c r="F797" s="1"/>
      <c r="G797" s="24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" x14ac:dyDescent="0.2">
      <c r="A798" s="40"/>
      <c r="B798" s="29"/>
      <c r="C798" s="1"/>
      <c r="D798" s="1"/>
      <c r="E798" s="1"/>
      <c r="F798" s="1"/>
      <c r="G798" s="24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" x14ac:dyDescent="0.2">
      <c r="A799" s="40"/>
      <c r="B799" s="29"/>
      <c r="C799" s="1"/>
      <c r="D799" s="1"/>
      <c r="E799" s="1"/>
      <c r="F799" s="1"/>
      <c r="G799" s="24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" x14ac:dyDescent="0.2">
      <c r="A800" s="40"/>
      <c r="B800" s="29"/>
      <c r="C800" s="1"/>
      <c r="D800" s="1"/>
      <c r="E800" s="1"/>
      <c r="F800" s="1"/>
      <c r="G800" s="24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" x14ac:dyDescent="0.2">
      <c r="A801" s="40"/>
      <c r="B801" s="29"/>
      <c r="C801" s="1"/>
      <c r="D801" s="1"/>
      <c r="E801" s="1"/>
      <c r="F801" s="1"/>
      <c r="G801" s="24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" x14ac:dyDescent="0.2">
      <c r="A802" s="40"/>
      <c r="B802" s="29"/>
      <c r="C802" s="1"/>
      <c r="D802" s="1"/>
      <c r="E802" s="1"/>
      <c r="F802" s="1"/>
      <c r="G802" s="24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" x14ac:dyDescent="0.2">
      <c r="A803" s="40"/>
      <c r="B803" s="29"/>
      <c r="C803" s="1"/>
      <c r="D803" s="1"/>
      <c r="E803" s="1"/>
      <c r="F803" s="1"/>
      <c r="G803" s="24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" x14ac:dyDescent="0.2">
      <c r="A804" s="40"/>
      <c r="B804" s="29"/>
      <c r="C804" s="1"/>
      <c r="D804" s="1"/>
      <c r="E804" s="1"/>
      <c r="F804" s="1"/>
      <c r="G804" s="24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" x14ac:dyDescent="0.2">
      <c r="A805" s="40"/>
      <c r="B805" s="29"/>
      <c r="C805" s="1"/>
      <c r="D805" s="1"/>
      <c r="E805" s="1"/>
      <c r="F805" s="1"/>
      <c r="G805" s="24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" x14ac:dyDescent="0.2">
      <c r="A806" s="40"/>
      <c r="B806" s="29"/>
      <c r="C806" s="1"/>
      <c r="D806" s="1"/>
      <c r="E806" s="1"/>
      <c r="F806" s="1"/>
      <c r="G806" s="24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" x14ac:dyDescent="0.2">
      <c r="A807" s="40"/>
      <c r="B807" s="29"/>
      <c r="C807" s="1"/>
      <c r="D807" s="1"/>
      <c r="E807" s="1"/>
      <c r="F807" s="1"/>
      <c r="G807" s="24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" x14ac:dyDescent="0.2">
      <c r="A808" s="40"/>
      <c r="B808" s="29"/>
      <c r="C808" s="1"/>
      <c r="D808" s="1"/>
      <c r="E808" s="1"/>
      <c r="F808" s="1"/>
      <c r="G808" s="24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" x14ac:dyDescent="0.2">
      <c r="A809" s="40"/>
      <c r="B809" s="29"/>
      <c r="C809" s="1"/>
      <c r="D809" s="1"/>
      <c r="E809" s="1"/>
      <c r="F809" s="1"/>
      <c r="G809" s="24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" x14ac:dyDescent="0.2">
      <c r="A810" s="40"/>
      <c r="B810" s="29"/>
      <c r="C810" s="1"/>
      <c r="D810" s="1"/>
      <c r="E810" s="1"/>
      <c r="F810" s="1"/>
      <c r="G810" s="24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" x14ac:dyDescent="0.2">
      <c r="A811" s="40"/>
      <c r="B811" s="29"/>
      <c r="C811" s="1"/>
      <c r="D811" s="1"/>
      <c r="E811" s="1"/>
      <c r="F811" s="1"/>
      <c r="G811" s="24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" x14ac:dyDescent="0.2">
      <c r="A812" s="40"/>
      <c r="B812" s="29"/>
      <c r="C812" s="1"/>
      <c r="D812" s="1"/>
      <c r="E812" s="1"/>
      <c r="F812" s="1"/>
      <c r="G812" s="24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" x14ac:dyDescent="0.2">
      <c r="A813" s="40"/>
      <c r="B813" s="29"/>
      <c r="C813" s="1"/>
      <c r="D813" s="1"/>
      <c r="E813" s="1"/>
      <c r="F813" s="1"/>
      <c r="G813" s="24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" x14ac:dyDescent="0.2">
      <c r="A814" s="40"/>
      <c r="B814" s="29"/>
      <c r="C814" s="1"/>
      <c r="D814" s="1"/>
      <c r="E814" s="1"/>
      <c r="F814" s="1"/>
      <c r="G814" s="24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" x14ac:dyDescent="0.2">
      <c r="A815" s="40"/>
      <c r="B815" s="29"/>
      <c r="C815" s="1"/>
      <c r="D815" s="1"/>
      <c r="E815" s="1"/>
      <c r="F815" s="1"/>
      <c r="G815" s="24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" x14ac:dyDescent="0.2">
      <c r="A816" s="40"/>
      <c r="B816" s="29"/>
      <c r="C816" s="1"/>
      <c r="D816" s="1"/>
      <c r="E816" s="1"/>
      <c r="F816" s="1"/>
      <c r="G816" s="24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" x14ac:dyDescent="0.2">
      <c r="A817" s="40"/>
      <c r="B817" s="29"/>
      <c r="C817" s="1"/>
      <c r="D817" s="1"/>
      <c r="E817" s="1"/>
      <c r="F817" s="1"/>
      <c r="G817" s="24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" x14ac:dyDescent="0.2">
      <c r="A818" s="40"/>
      <c r="B818" s="29"/>
      <c r="C818" s="1"/>
      <c r="D818" s="1"/>
      <c r="E818" s="1"/>
      <c r="F818" s="1"/>
      <c r="G818" s="24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" x14ac:dyDescent="0.2">
      <c r="A819" s="40"/>
      <c r="B819" s="29"/>
      <c r="C819" s="1"/>
      <c r="D819" s="1"/>
      <c r="E819" s="1"/>
      <c r="F819" s="1"/>
      <c r="G819" s="24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" x14ac:dyDescent="0.2">
      <c r="A820" s="40"/>
      <c r="B820" s="29"/>
      <c r="C820" s="1"/>
      <c r="D820" s="1"/>
      <c r="E820" s="1"/>
      <c r="F820" s="1"/>
      <c r="G820" s="24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" x14ac:dyDescent="0.2">
      <c r="A821" s="40"/>
      <c r="B821" s="29"/>
      <c r="C821" s="1"/>
      <c r="D821" s="1"/>
      <c r="E821" s="1"/>
      <c r="F821" s="1"/>
      <c r="G821" s="24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" x14ac:dyDescent="0.2">
      <c r="A822" s="40"/>
      <c r="B822" s="29"/>
      <c r="C822" s="1"/>
      <c r="D822" s="1"/>
      <c r="E822" s="1"/>
      <c r="F822" s="1"/>
      <c r="G822" s="24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" x14ac:dyDescent="0.2">
      <c r="A823" s="40"/>
      <c r="B823" s="29"/>
      <c r="C823" s="1"/>
      <c r="D823" s="1"/>
      <c r="E823" s="1"/>
      <c r="F823" s="1"/>
      <c r="G823" s="24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" x14ac:dyDescent="0.2">
      <c r="A824" s="40"/>
      <c r="B824" s="29"/>
      <c r="C824" s="1"/>
      <c r="D824" s="1"/>
      <c r="E824" s="1"/>
      <c r="F824" s="1"/>
      <c r="G824" s="24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" x14ac:dyDescent="0.2">
      <c r="A825" s="40"/>
      <c r="B825" s="29"/>
      <c r="C825" s="1"/>
      <c r="D825" s="1"/>
      <c r="E825" s="1"/>
      <c r="F825" s="1"/>
      <c r="G825" s="24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" x14ac:dyDescent="0.2">
      <c r="A826" s="40"/>
      <c r="B826" s="29"/>
      <c r="C826" s="1"/>
      <c r="D826" s="1"/>
      <c r="E826" s="1"/>
      <c r="F826" s="1"/>
      <c r="G826" s="24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" x14ac:dyDescent="0.2">
      <c r="A827" s="40"/>
      <c r="B827" s="29"/>
      <c r="C827" s="1"/>
      <c r="D827" s="1"/>
      <c r="E827" s="1"/>
      <c r="F827" s="1"/>
      <c r="G827" s="24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" x14ac:dyDescent="0.2">
      <c r="A828" s="40"/>
      <c r="B828" s="29"/>
      <c r="C828" s="1"/>
      <c r="D828" s="1"/>
      <c r="E828" s="1"/>
      <c r="F828" s="1"/>
      <c r="G828" s="24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" x14ac:dyDescent="0.2">
      <c r="A829" s="40"/>
      <c r="B829" s="29"/>
      <c r="C829" s="1"/>
      <c r="D829" s="1"/>
      <c r="E829" s="1"/>
      <c r="F829" s="1"/>
      <c r="G829" s="24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" x14ac:dyDescent="0.2">
      <c r="A830" s="40"/>
      <c r="B830" s="29"/>
      <c r="C830" s="1"/>
      <c r="D830" s="1"/>
      <c r="E830" s="1"/>
      <c r="F830" s="1"/>
      <c r="G830" s="24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" x14ac:dyDescent="0.2">
      <c r="A831" s="40"/>
      <c r="B831" s="29"/>
      <c r="C831" s="1"/>
      <c r="D831" s="1"/>
      <c r="E831" s="1"/>
      <c r="F831" s="1"/>
      <c r="G831" s="24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" x14ac:dyDescent="0.2">
      <c r="A832" s="40"/>
      <c r="B832" s="29"/>
      <c r="C832" s="1"/>
      <c r="D832" s="1"/>
      <c r="E832" s="1"/>
      <c r="F832" s="1"/>
      <c r="G832" s="24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" x14ac:dyDescent="0.2">
      <c r="A833" s="40"/>
      <c r="B833" s="29"/>
      <c r="C833" s="1"/>
      <c r="D833" s="1"/>
      <c r="E833" s="1"/>
      <c r="F833" s="1"/>
      <c r="G833" s="24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" x14ac:dyDescent="0.2">
      <c r="A834" s="40"/>
      <c r="B834" s="29"/>
      <c r="C834" s="1"/>
      <c r="D834" s="1"/>
      <c r="E834" s="1"/>
      <c r="F834" s="1"/>
      <c r="G834" s="24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" x14ac:dyDescent="0.2">
      <c r="A835" s="40"/>
      <c r="B835" s="29"/>
      <c r="C835" s="1"/>
      <c r="D835" s="1"/>
      <c r="E835" s="1"/>
      <c r="F835" s="1"/>
      <c r="G835" s="24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" x14ac:dyDescent="0.2">
      <c r="A836" s="40"/>
      <c r="B836" s="29"/>
      <c r="C836" s="1"/>
      <c r="D836" s="1"/>
      <c r="E836" s="1"/>
      <c r="F836" s="1"/>
      <c r="G836" s="24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" x14ac:dyDescent="0.2">
      <c r="A837" s="40"/>
      <c r="B837" s="29"/>
      <c r="C837" s="1"/>
      <c r="D837" s="1"/>
      <c r="E837" s="1"/>
      <c r="F837" s="1"/>
      <c r="G837" s="24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" x14ac:dyDescent="0.2">
      <c r="A838" s="40"/>
      <c r="B838" s="29"/>
      <c r="C838" s="1"/>
      <c r="D838" s="1"/>
      <c r="E838" s="1"/>
      <c r="F838" s="1"/>
      <c r="G838" s="24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" x14ac:dyDescent="0.2">
      <c r="A839" s="40"/>
      <c r="B839" s="29"/>
      <c r="C839" s="1"/>
      <c r="D839" s="1"/>
      <c r="E839" s="1"/>
      <c r="F839" s="1"/>
      <c r="G839" s="24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" x14ac:dyDescent="0.2">
      <c r="A840" s="40"/>
      <c r="B840" s="29"/>
      <c r="C840" s="1"/>
      <c r="D840" s="1"/>
      <c r="E840" s="1"/>
      <c r="F840" s="1"/>
      <c r="G840" s="24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" x14ac:dyDescent="0.2">
      <c r="A841" s="40"/>
      <c r="B841" s="29"/>
      <c r="C841" s="1"/>
      <c r="D841" s="1"/>
      <c r="E841" s="1"/>
      <c r="F841" s="1"/>
      <c r="G841" s="24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" x14ac:dyDescent="0.2">
      <c r="A842" s="40"/>
      <c r="B842" s="29"/>
      <c r="C842" s="1"/>
      <c r="D842" s="1"/>
      <c r="E842" s="1"/>
      <c r="F842" s="1"/>
      <c r="G842" s="24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" x14ac:dyDescent="0.2">
      <c r="A843" s="40"/>
      <c r="B843" s="29"/>
      <c r="C843" s="1"/>
      <c r="D843" s="1"/>
      <c r="E843" s="1"/>
      <c r="F843" s="1"/>
      <c r="G843" s="24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" x14ac:dyDescent="0.2">
      <c r="A844" s="40"/>
      <c r="B844" s="29"/>
      <c r="C844" s="1"/>
      <c r="D844" s="1"/>
      <c r="E844" s="1"/>
      <c r="F844" s="1"/>
      <c r="G844" s="24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" x14ac:dyDescent="0.2">
      <c r="A845" s="40"/>
      <c r="B845" s="29"/>
      <c r="C845" s="1"/>
      <c r="D845" s="1"/>
      <c r="E845" s="1"/>
      <c r="F845" s="1"/>
      <c r="G845" s="24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" x14ac:dyDescent="0.2">
      <c r="A846" s="40"/>
      <c r="B846" s="29"/>
      <c r="C846" s="1"/>
      <c r="D846" s="1"/>
      <c r="E846" s="1"/>
      <c r="F846" s="1"/>
      <c r="G846" s="24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" x14ac:dyDescent="0.2">
      <c r="A847" s="40"/>
      <c r="B847" s="29"/>
      <c r="C847" s="1"/>
      <c r="D847" s="1"/>
      <c r="E847" s="1"/>
      <c r="F847" s="1"/>
      <c r="G847" s="24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" x14ac:dyDescent="0.2">
      <c r="A848" s="40"/>
      <c r="B848" s="29"/>
      <c r="C848" s="1"/>
      <c r="D848" s="1"/>
      <c r="E848" s="1"/>
      <c r="F848" s="1"/>
      <c r="G848" s="24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" x14ac:dyDescent="0.2">
      <c r="A849" s="40"/>
      <c r="B849" s="29"/>
      <c r="C849" s="1"/>
      <c r="D849" s="1"/>
      <c r="E849" s="1"/>
      <c r="F849" s="1"/>
      <c r="G849" s="24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" x14ac:dyDescent="0.2">
      <c r="A850" s="40"/>
      <c r="B850" s="29"/>
      <c r="C850" s="1"/>
      <c r="D850" s="1"/>
      <c r="E850" s="1"/>
      <c r="F850" s="1"/>
      <c r="G850" s="24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" x14ac:dyDescent="0.2">
      <c r="A851" s="40"/>
      <c r="B851" s="29"/>
      <c r="C851" s="1"/>
      <c r="D851" s="1"/>
      <c r="E851" s="1"/>
      <c r="F851" s="1"/>
      <c r="G851" s="24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" x14ac:dyDescent="0.2">
      <c r="A852" s="40"/>
      <c r="B852" s="29"/>
      <c r="C852" s="1"/>
      <c r="D852" s="1"/>
      <c r="E852" s="1"/>
      <c r="F852" s="1"/>
      <c r="G852" s="24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" x14ac:dyDescent="0.2">
      <c r="A853" s="40"/>
      <c r="B853" s="29"/>
      <c r="C853" s="1"/>
      <c r="D853" s="1"/>
      <c r="E853" s="1"/>
      <c r="F853" s="1"/>
      <c r="G853" s="24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" x14ac:dyDescent="0.2">
      <c r="A854" s="40"/>
      <c r="B854" s="29"/>
      <c r="C854" s="1"/>
      <c r="D854" s="1"/>
      <c r="E854" s="1"/>
      <c r="F854" s="1"/>
      <c r="G854" s="24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" x14ac:dyDescent="0.2">
      <c r="A855" s="40"/>
      <c r="B855" s="29"/>
      <c r="C855" s="1"/>
      <c r="D855" s="1"/>
      <c r="E855" s="1"/>
      <c r="F855" s="1"/>
      <c r="G855" s="24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" x14ac:dyDescent="0.2">
      <c r="A856" s="40"/>
      <c r="B856" s="29"/>
      <c r="C856" s="1"/>
      <c r="D856" s="1"/>
      <c r="E856" s="1"/>
      <c r="F856" s="1"/>
      <c r="G856" s="24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" x14ac:dyDescent="0.2">
      <c r="A857" s="40"/>
      <c r="B857" s="29"/>
      <c r="C857" s="1"/>
      <c r="D857" s="1"/>
      <c r="E857" s="1"/>
      <c r="F857" s="1"/>
      <c r="G857" s="24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" x14ac:dyDescent="0.2">
      <c r="A858" s="40"/>
      <c r="B858" s="29"/>
      <c r="C858" s="1"/>
      <c r="D858" s="1"/>
      <c r="E858" s="1"/>
      <c r="F858" s="1"/>
      <c r="G858" s="24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" x14ac:dyDescent="0.2">
      <c r="A859" s="40"/>
      <c r="B859" s="29"/>
      <c r="C859" s="1"/>
      <c r="D859" s="1"/>
      <c r="E859" s="1"/>
      <c r="F859" s="1"/>
      <c r="G859" s="24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" x14ac:dyDescent="0.2">
      <c r="A860" s="40"/>
      <c r="B860" s="29"/>
      <c r="C860" s="1"/>
      <c r="D860" s="1"/>
      <c r="E860" s="1"/>
      <c r="F860" s="1"/>
      <c r="G860" s="24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" x14ac:dyDescent="0.2">
      <c r="A861" s="40"/>
      <c r="B861" s="29"/>
      <c r="C861" s="1"/>
      <c r="D861" s="1"/>
      <c r="E861" s="1"/>
      <c r="F861" s="1"/>
      <c r="G861" s="24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" x14ac:dyDescent="0.2">
      <c r="A862" s="40"/>
      <c r="B862" s="29"/>
      <c r="C862" s="1"/>
      <c r="D862" s="1"/>
      <c r="E862" s="1"/>
      <c r="F862" s="1"/>
      <c r="G862" s="24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" x14ac:dyDescent="0.2">
      <c r="A863" s="40"/>
      <c r="B863" s="29"/>
      <c r="C863" s="1"/>
      <c r="D863" s="1"/>
      <c r="E863" s="1"/>
      <c r="F863" s="1"/>
      <c r="G863" s="24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" x14ac:dyDescent="0.2">
      <c r="A864" s="40"/>
      <c r="B864" s="29"/>
      <c r="C864" s="1"/>
      <c r="D864" s="1"/>
      <c r="E864" s="1"/>
      <c r="F864" s="1"/>
      <c r="G864" s="24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" x14ac:dyDescent="0.2">
      <c r="A865" s="40"/>
      <c r="B865" s="29"/>
      <c r="C865" s="1"/>
      <c r="D865" s="1"/>
      <c r="E865" s="1"/>
      <c r="F865" s="1"/>
      <c r="G865" s="24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" x14ac:dyDescent="0.2">
      <c r="A866" s="40"/>
      <c r="B866" s="29"/>
      <c r="C866" s="1"/>
      <c r="D866" s="1"/>
      <c r="E866" s="1"/>
      <c r="F866" s="1"/>
      <c r="G866" s="24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" x14ac:dyDescent="0.2">
      <c r="A867" s="40"/>
      <c r="B867" s="29"/>
      <c r="C867" s="1"/>
      <c r="D867" s="1"/>
      <c r="E867" s="1"/>
      <c r="F867" s="1"/>
      <c r="G867" s="24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" x14ac:dyDescent="0.2">
      <c r="A868" s="40"/>
      <c r="B868" s="29"/>
      <c r="C868" s="1"/>
      <c r="D868" s="1"/>
      <c r="E868" s="1"/>
      <c r="F868" s="1"/>
      <c r="G868" s="24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" x14ac:dyDescent="0.2">
      <c r="A869" s="40"/>
      <c r="B869" s="29"/>
      <c r="C869" s="1"/>
      <c r="D869" s="1"/>
      <c r="E869" s="1"/>
      <c r="F869" s="1"/>
      <c r="G869" s="24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" x14ac:dyDescent="0.2">
      <c r="A870" s="40"/>
      <c r="B870" s="29"/>
      <c r="C870" s="1"/>
      <c r="D870" s="1"/>
      <c r="E870" s="1"/>
      <c r="F870" s="1"/>
      <c r="G870" s="24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" x14ac:dyDescent="0.2">
      <c r="A871" s="40"/>
      <c r="B871" s="29"/>
      <c r="C871" s="1"/>
      <c r="D871" s="1"/>
      <c r="E871" s="1"/>
      <c r="F871" s="1"/>
      <c r="G871" s="24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" x14ac:dyDescent="0.2">
      <c r="A872" s="40"/>
      <c r="B872" s="29"/>
      <c r="C872" s="1"/>
      <c r="D872" s="1"/>
      <c r="E872" s="1"/>
      <c r="F872" s="1"/>
      <c r="G872" s="24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" x14ac:dyDescent="0.2">
      <c r="A873" s="40"/>
      <c r="B873" s="29"/>
      <c r="C873" s="1"/>
      <c r="D873" s="1"/>
      <c r="E873" s="1"/>
      <c r="F873" s="1"/>
      <c r="G873" s="24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" x14ac:dyDescent="0.2">
      <c r="A874" s="40"/>
      <c r="B874" s="29"/>
      <c r="C874" s="1"/>
      <c r="D874" s="1"/>
      <c r="E874" s="1"/>
      <c r="F874" s="1"/>
      <c r="G874" s="24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" x14ac:dyDescent="0.2">
      <c r="A875" s="40"/>
      <c r="B875" s="29"/>
      <c r="C875" s="1"/>
      <c r="D875" s="1"/>
      <c r="E875" s="1"/>
      <c r="F875" s="1"/>
      <c r="G875" s="24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" x14ac:dyDescent="0.2">
      <c r="A876" s="40"/>
      <c r="B876" s="29"/>
      <c r="C876" s="1"/>
      <c r="D876" s="1"/>
      <c r="E876" s="1"/>
      <c r="F876" s="1"/>
      <c r="G876" s="24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" x14ac:dyDescent="0.2">
      <c r="A877" s="40"/>
      <c r="B877" s="29"/>
      <c r="C877" s="1"/>
      <c r="D877" s="1"/>
      <c r="E877" s="1"/>
      <c r="F877" s="1"/>
      <c r="G877" s="24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" x14ac:dyDescent="0.2">
      <c r="A878" s="40"/>
      <c r="B878" s="29"/>
      <c r="C878" s="1"/>
      <c r="D878" s="1"/>
      <c r="E878" s="1"/>
      <c r="F878" s="1"/>
      <c r="G878" s="24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" x14ac:dyDescent="0.2">
      <c r="A879" s="40"/>
      <c r="B879" s="29"/>
      <c r="C879" s="1"/>
      <c r="D879" s="1"/>
      <c r="E879" s="1"/>
      <c r="F879" s="1"/>
      <c r="G879" s="24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" x14ac:dyDescent="0.2">
      <c r="A880" s="40"/>
      <c r="B880" s="29"/>
      <c r="C880" s="1"/>
      <c r="D880" s="1"/>
      <c r="E880" s="1"/>
      <c r="F880" s="1"/>
      <c r="G880" s="24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" x14ac:dyDescent="0.2">
      <c r="A881" s="40"/>
      <c r="B881" s="29"/>
      <c r="C881" s="1"/>
      <c r="D881" s="1"/>
      <c r="E881" s="1"/>
      <c r="F881" s="1"/>
      <c r="G881" s="24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" x14ac:dyDescent="0.2">
      <c r="A882" s="40"/>
      <c r="B882" s="29"/>
      <c r="C882" s="1"/>
      <c r="D882" s="1"/>
      <c r="E882" s="1"/>
      <c r="F882" s="1"/>
      <c r="G882" s="24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" x14ac:dyDescent="0.2">
      <c r="A883" s="40"/>
      <c r="B883" s="29"/>
      <c r="C883" s="1"/>
      <c r="D883" s="1"/>
      <c r="E883" s="1"/>
      <c r="F883" s="1"/>
      <c r="G883" s="24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" x14ac:dyDescent="0.2">
      <c r="A884" s="40"/>
      <c r="B884" s="29"/>
      <c r="C884" s="1"/>
      <c r="D884" s="1"/>
      <c r="E884" s="1"/>
      <c r="F884" s="1"/>
      <c r="G884" s="24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" x14ac:dyDescent="0.2">
      <c r="A885" s="40"/>
      <c r="B885" s="29"/>
      <c r="C885" s="1"/>
      <c r="D885" s="1"/>
      <c r="E885" s="1"/>
      <c r="F885" s="1"/>
      <c r="G885" s="24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" x14ac:dyDescent="0.2">
      <c r="A886" s="40"/>
      <c r="B886" s="29"/>
      <c r="C886" s="1"/>
      <c r="D886" s="1"/>
      <c r="E886" s="1"/>
      <c r="F886" s="1"/>
      <c r="G886" s="24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" x14ac:dyDescent="0.2">
      <c r="A887" s="40"/>
      <c r="B887" s="29"/>
      <c r="C887" s="1"/>
      <c r="D887" s="1"/>
      <c r="E887" s="1"/>
      <c r="F887" s="1"/>
      <c r="G887" s="24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" x14ac:dyDescent="0.2">
      <c r="A888" s="40"/>
      <c r="B888" s="29"/>
      <c r="C888" s="1"/>
      <c r="D888" s="1"/>
      <c r="E888" s="1"/>
      <c r="F888" s="1"/>
      <c r="G888" s="24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" x14ac:dyDescent="0.2">
      <c r="A889" s="40"/>
      <c r="B889" s="29"/>
      <c r="C889" s="1"/>
      <c r="D889" s="1"/>
      <c r="E889" s="1"/>
      <c r="F889" s="1"/>
      <c r="G889" s="24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" x14ac:dyDescent="0.2">
      <c r="A890" s="40"/>
      <c r="B890" s="29"/>
      <c r="C890" s="1"/>
      <c r="D890" s="1"/>
      <c r="E890" s="1"/>
      <c r="F890" s="1"/>
      <c r="G890" s="24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" x14ac:dyDescent="0.2">
      <c r="A891" s="40"/>
      <c r="B891" s="29"/>
      <c r="C891" s="1"/>
      <c r="D891" s="1"/>
      <c r="E891" s="1"/>
      <c r="F891" s="1"/>
      <c r="G891" s="24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" x14ac:dyDescent="0.2">
      <c r="A892" s="40"/>
      <c r="B892" s="29"/>
      <c r="C892" s="1"/>
      <c r="D892" s="1"/>
      <c r="E892" s="1"/>
      <c r="F892" s="1"/>
      <c r="G892" s="24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" x14ac:dyDescent="0.2">
      <c r="A893" s="40"/>
      <c r="B893" s="29"/>
      <c r="C893" s="1"/>
      <c r="D893" s="1"/>
      <c r="E893" s="1"/>
      <c r="F893" s="1"/>
      <c r="G893" s="24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" x14ac:dyDescent="0.2">
      <c r="A894" s="40"/>
      <c r="B894" s="29"/>
      <c r="C894" s="1"/>
      <c r="D894" s="1"/>
      <c r="E894" s="1"/>
      <c r="F894" s="1"/>
      <c r="G894" s="24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" x14ac:dyDescent="0.2">
      <c r="A895" s="40"/>
      <c r="B895" s="29"/>
      <c r="C895" s="1"/>
      <c r="D895" s="1"/>
      <c r="E895" s="1"/>
      <c r="F895" s="1"/>
      <c r="G895" s="24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" x14ac:dyDescent="0.2">
      <c r="A896" s="40"/>
      <c r="B896" s="29"/>
      <c r="C896" s="1"/>
      <c r="D896" s="1"/>
      <c r="E896" s="1"/>
      <c r="F896" s="1"/>
      <c r="G896" s="24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" x14ac:dyDescent="0.2">
      <c r="A897" s="40"/>
      <c r="B897" s="29"/>
      <c r="C897" s="1"/>
      <c r="D897" s="1"/>
      <c r="E897" s="1"/>
      <c r="F897" s="1"/>
      <c r="G897" s="24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" x14ac:dyDescent="0.2">
      <c r="A898" s="40"/>
      <c r="B898" s="29"/>
      <c r="C898" s="1"/>
      <c r="D898" s="1"/>
      <c r="E898" s="1"/>
      <c r="F898" s="1"/>
      <c r="G898" s="24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" x14ac:dyDescent="0.2">
      <c r="A899" s="40"/>
      <c r="B899" s="29"/>
      <c r="C899" s="1"/>
      <c r="D899" s="1"/>
      <c r="E899" s="1"/>
      <c r="F899" s="1"/>
      <c r="G899" s="24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" x14ac:dyDescent="0.2">
      <c r="A900" s="40"/>
      <c r="B900" s="29"/>
      <c r="C900" s="1"/>
      <c r="D900" s="1"/>
      <c r="E900" s="1"/>
      <c r="F900" s="1"/>
      <c r="G900" s="24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" x14ac:dyDescent="0.2">
      <c r="A901" s="40"/>
      <c r="B901" s="29"/>
      <c r="C901" s="1"/>
      <c r="D901" s="1"/>
      <c r="E901" s="1"/>
      <c r="F901" s="1"/>
      <c r="G901" s="24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" x14ac:dyDescent="0.2">
      <c r="A902" s="40"/>
      <c r="B902" s="29"/>
      <c r="C902" s="1"/>
      <c r="D902" s="1"/>
      <c r="E902" s="1"/>
      <c r="F902" s="1"/>
      <c r="G902" s="24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" x14ac:dyDescent="0.2">
      <c r="A903" s="40"/>
      <c r="B903" s="29"/>
      <c r="C903" s="1"/>
      <c r="D903" s="1"/>
      <c r="E903" s="1"/>
      <c r="F903" s="1"/>
      <c r="G903" s="24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" x14ac:dyDescent="0.2">
      <c r="A904" s="40"/>
      <c r="B904" s="29"/>
      <c r="C904" s="1"/>
      <c r="D904" s="1"/>
      <c r="E904" s="1"/>
      <c r="F904" s="1"/>
      <c r="G904" s="24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" x14ac:dyDescent="0.2">
      <c r="A905" s="40"/>
      <c r="B905" s="29"/>
      <c r="C905" s="1"/>
      <c r="D905" s="1"/>
      <c r="E905" s="1"/>
      <c r="F905" s="1"/>
      <c r="G905" s="24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" x14ac:dyDescent="0.2">
      <c r="A906" s="40"/>
      <c r="B906" s="29"/>
      <c r="C906" s="1"/>
      <c r="D906" s="1"/>
      <c r="E906" s="1"/>
      <c r="F906" s="1"/>
      <c r="G906" s="24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" x14ac:dyDescent="0.2">
      <c r="A907" s="40"/>
      <c r="B907" s="29"/>
      <c r="C907" s="1"/>
      <c r="D907" s="1"/>
      <c r="E907" s="1"/>
      <c r="F907" s="1"/>
      <c r="G907" s="24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" x14ac:dyDescent="0.2">
      <c r="A908" s="40"/>
      <c r="B908" s="29"/>
      <c r="C908" s="1"/>
      <c r="D908" s="1"/>
      <c r="E908" s="1"/>
      <c r="F908" s="1"/>
      <c r="G908" s="24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" x14ac:dyDescent="0.2">
      <c r="A909" s="40"/>
      <c r="B909" s="29"/>
      <c r="C909" s="1"/>
      <c r="D909" s="1"/>
      <c r="E909" s="1"/>
      <c r="F909" s="1"/>
      <c r="G909" s="24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" x14ac:dyDescent="0.2">
      <c r="A910" s="40"/>
      <c r="B910" s="29"/>
      <c r="C910" s="1"/>
      <c r="D910" s="1"/>
      <c r="E910" s="1"/>
      <c r="F910" s="1"/>
      <c r="G910" s="24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" x14ac:dyDescent="0.2">
      <c r="A911" s="40"/>
      <c r="B911" s="29"/>
      <c r="C911" s="1"/>
      <c r="D911" s="1"/>
      <c r="E911" s="1"/>
      <c r="F911" s="1"/>
      <c r="G911" s="24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" x14ac:dyDescent="0.2">
      <c r="A912" s="40"/>
      <c r="B912" s="29"/>
      <c r="C912" s="1"/>
      <c r="D912" s="1"/>
      <c r="E912" s="1"/>
      <c r="F912" s="1"/>
      <c r="G912" s="24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" x14ac:dyDescent="0.2">
      <c r="A913" s="40"/>
      <c r="B913" s="29"/>
      <c r="C913" s="1"/>
      <c r="D913" s="1"/>
      <c r="E913" s="1"/>
      <c r="F913" s="1"/>
      <c r="G913" s="24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" x14ac:dyDescent="0.2">
      <c r="A914" s="40"/>
      <c r="B914" s="29"/>
      <c r="C914" s="1"/>
      <c r="D914" s="1"/>
      <c r="E914" s="1"/>
      <c r="F914" s="1"/>
      <c r="G914" s="24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" x14ac:dyDescent="0.2">
      <c r="A915" s="40"/>
      <c r="B915" s="29"/>
      <c r="C915" s="1"/>
      <c r="D915" s="1"/>
      <c r="E915" s="1"/>
      <c r="F915" s="1"/>
      <c r="G915" s="24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" x14ac:dyDescent="0.2">
      <c r="A916" s="40"/>
      <c r="B916" s="29"/>
      <c r="C916" s="1"/>
      <c r="D916" s="1"/>
      <c r="E916" s="1"/>
      <c r="F916" s="1"/>
      <c r="G916" s="24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" x14ac:dyDescent="0.2">
      <c r="A917" s="40"/>
      <c r="B917" s="29"/>
      <c r="C917" s="1"/>
      <c r="D917" s="1"/>
      <c r="E917" s="1"/>
      <c r="F917" s="1"/>
      <c r="G917" s="24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" x14ac:dyDescent="0.2">
      <c r="A918" s="40"/>
      <c r="B918" s="29"/>
      <c r="C918" s="1"/>
      <c r="D918" s="1"/>
      <c r="E918" s="1"/>
      <c r="F918" s="1"/>
      <c r="G918" s="24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" x14ac:dyDescent="0.2">
      <c r="A919" s="40"/>
      <c r="B919" s="29"/>
      <c r="C919" s="1"/>
      <c r="D919" s="1"/>
      <c r="E919" s="1"/>
      <c r="F919" s="1"/>
      <c r="G919" s="24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" x14ac:dyDescent="0.2">
      <c r="A920" s="40"/>
      <c r="B920" s="29"/>
      <c r="C920" s="1"/>
      <c r="D920" s="1"/>
      <c r="E920" s="1"/>
      <c r="F920" s="1"/>
      <c r="G920" s="24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" x14ac:dyDescent="0.2">
      <c r="A921" s="40"/>
      <c r="B921" s="29"/>
      <c r="C921" s="1"/>
      <c r="D921" s="1"/>
      <c r="E921" s="1"/>
      <c r="F921" s="1"/>
      <c r="G921" s="24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" x14ac:dyDescent="0.2">
      <c r="A922" s="40"/>
      <c r="B922" s="29"/>
      <c r="C922" s="1"/>
      <c r="D922" s="1"/>
      <c r="E922" s="1"/>
      <c r="F922" s="1"/>
      <c r="G922" s="24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" x14ac:dyDescent="0.2">
      <c r="A923" s="40"/>
      <c r="B923" s="29"/>
      <c r="C923" s="1"/>
      <c r="D923" s="1"/>
      <c r="E923" s="1"/>
      <c r="F923" s="1"/>
      <c r="G923" s="24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" x14ac:dyDescent="0.2">
      <c r="A924" s="40"/>
      <c r="B924" s="29"/>
      <c r="C924" s="1"/>
      <c r="D924" s="1"/>
      <c r="E924" s="1"/>
      <c r="F924" s="1"/>
      <c r="G924" s="24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" x14ac:dyDescent="0.2">
      <c r="A925" s="40"/>
      <c r="B925" s="29"/>
      <c r="C925" s="1"/>
      <c r="D925" s="1"/>
      <c r="E925" s="1"/>
      <c r="F925" s="1"/>
      <c r="G925" s="24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" x14ac:dyDescent="0.2">
      <c r="A926" s="40"/>
      <c r="B926" s="29"/>
      <c r="C926" s="1"/>
      <c r="D926" s="1"/>
      <c r="E926" s="1"/>
      <c r="F926" s="1"/>
      <c r="G926" s="24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" x14ac:dyDescent="0.2">
      <c r="A927" s="40"/>
      <c r="B927" s="29"/>
      <c r="C927" s="1"/>
      <c r="D927" s="1"/>
      <c r="E927" s="1"/>
      <c r="F927" s="1"/>
      <c r="G927" s="24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" x14ac:dyDescent="0.2">
      <c r="A928" s="40"/>
      <c r="B928" s="29"/>
      <c r="C928" s="1"/>
      <c r="D928" s="1"/>
      <c r="E928" s="1"/>
      <c r="F928" s="1"/>
      <c r="G928" s="24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" x14ac:dyDescent="0.2">
      <c r="A929" s="40"/>
      <c r="B929" s="29"/>
      <c r="C929" s="1"/>
      <c r="D929" s="1"/>
      <c r="E929" s="1"/>
      <c r="F929" s="1"/>
      <c r="G929" s="24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" x14ac:dyDescent="0.2">
      <c r="A930" s="40"/>
      <c r="B930" s="29"/>
      <c r="C930" s="1"/>
      <c r="D930" s="1"/>
      <c r="E930" s="1"/>
      <c r="F930" s="1"/>
      <c r="G930" s="24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" x14ac:dyDescent="0.2">
      <c r="A931" s="40"/>
      <c r="B931" s="29"/>
      <c r="C931" s="1"/>
      <c r="D931" s="1"/>
      <c r="E931" s="1"/>
      <c r="F931" s="1"/>
      <c r="G931" s="24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" x14ac:dyDescent="0.2">
      <c r="A932" s="40"/>
      <c r="B932" s="29"/>
      <c r="C932" s="1"/>
      <c r="D932" s="1"/>
      <c r="E932" s="1"/>
      <c r="F932" s="1"/>
      <c r="G932" s="24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" x14ac:dyDescent="0.2">
      <c r="A933" s="40"/>
      <c r="B933" s="29"/>
      <c r="C933" s="1"/>
      <c r="D933" s="1"/>
      <c r="E933" s="1"/>
      <c r="F933" s="1"/>
      <c r="G933" s="24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" x14ac:dyDescent="0.2">
      <c r="A934" s="40"/>
      <c r="B934" s="29"/>
      <c r="C934" s="1"/>
      <c r="D934" s="1"/>
      <c r="E934" s="1"/>
      <c r="F934" s="1"/>
      <c r="G934" s="24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" x14ac:dyDescent="0.2">
      <c r="A935" s="40"/>
      <c r="B935" s="29"/>
      <c r="C935" s="1"/>
      <c r="D935" s="1"/>
      <c r="E935" s="1"/>
      <c r="F935" s="1"/>
      <c r="G935" s="24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" x14ac:dyDescent="0.2">
      <c r="A936" s="40"/>
      <c r="B936" s="29"/>
      <c r="C936" s="1"/>
      <c r="D936" s="1"/>
      <c r="E936" s="1"/>
      <c r="F936" s="1"/>
      <c r="G936" s="24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" x14ac:dyDescent="0.2">
      <c r="A937" s="40"/>
      <c r="B937" s="29"/>
      <c r="C937" s="1"/>
      <c r="D937" s="1"/>
      <c r="E937" s="1"/>
      <c r="F937" s="1"/>
      <c r="G937" s="24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" x14ac:dyDescent="0.2">
      <c r="A938" s="40"/>
      <c r="B938" s="29"/>
      <c r="C938" s="1"/>
      <c r="D938" s="1"/>
      <c r="E938" s="1"/>
      <c r="F938" s="1"/>
      <c r="G938" s="24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" x14ac:dyDescent="0.2">
      <c r="A939" s="40"/>
      <c r="B939" s="29"/>
      <c r="C939" s="1"/>
      <c r="D939" s="1"/>
      <c r="E939" s="1"/>
      <c r="F939" s="1"/>
      <c r="G939" s="24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" x14ac:dyDescent="0.2">
      <c r="A940" s="40"/>
      <c r="B940" s="29"/>
      <c r="C940" s="1"/>
      <c r="D940" s="1"/>
      <c r="E940" s="1"/>
      <c r="F940" s="1"/>
      <c r="G940" s="24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" x14ac:dyDescent="0.2">
      <c r="A941" s="40"/>
      <c r="B941" s="29"/>
      <c r="C941" s="1"/>
      <c r="D941" s="1"/>
      <c r="E941" s="1"/>
      <c r="F941" s="1"/>
      <c r="G941" s="24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" x14ac:dyDescent="0.2">
      <c r="A942" s="40"/>
      <c r="B942" s="29"/>
      <c r="C942" s="1"/>
      <c r="D942" s="1"/>
      <c r="E942" s="1"/>
      <c r="F942" s="1"/>
      <c r="G942" s="24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" x14ac:dyDescent="0.2">
      <c r="A943" s="40"/>
      <c r="B943" s="29"/>
      <c r="C943" s="1"/>
      <c r="D943" s="1"/>
      <c r="E943" s="1"/>
      <c r="F943" s="1"/>
      <c r="G943" s="24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" x14ac:dyDescent="0.2">
      <c r="A944" s="40"/>
      <c r="B944" s="29"/>
      <c r="C944" s="1"/>
      <c r="D944" s="1"/>
      <c r="E944" s="1"/>
      <c r="F944" s="1"/>
      <c r="G944" s="24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" x14ac:dyDescent="0.2">
      <c r="A945" s="40"/>
      <c r="B945" s="29"/>
      <c r="C945" s="1"/>
      <c r="D945" s="1"/>
      <c r="E945" s="1"/>
      <c r="F945" s="1"/>
      <c r="G945" s="24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" x14ac:dyDescent="0.2">
      <c r="A946" s="40"/>
      <c r="B946" s="29"/>
      <c r="C946" s="1"/>
      <c r="D946" s="1"/>
      <c r="E946" s="1"/>
      <c r="F946" s="1"/>
      <c r="G946" s="24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" x14ac:dyDescent="0.2">
      <c r="A947" s="40"/>
      <c r="B947" s="29"/>
      <c r="C947" s="1"/>
      <c r="D947" s="1"/>
      <c r="E947" s="1"/>
      <c r="F947" s="1"/>
      <c r="G947" s="24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" x14ac:dyDescent="0.2">
      <c r="A948" s="40"/>
      <c r="B948" s="29"/>
      <c r="C948" s="1"/>
      <c r="D948" s="1"/>
      <c r="E948" s="1"/>
      <c r="F948" s="1"/>
      <c r="G948" s="24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" x14ac:dyDescent="0.2">
      <c r="A949" s="40"/>
      <c r="B949" s="29"/>
      <c r="C949" s="1"/>
      <c r="D949" s="1"/>
      <c r="E949" s="1"/>
      <c r="F949" s="1"/>
      <c r="G949" s="24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" x14ac:dyDescent="0.2">
      <c r="A950" s="40"/>
      <c r="B950" s="29"/>
      <c r="C950" s="1"/>
      <c r="D950" s="1"/>
      <c r="E950" s="1"/>
      <c r="F950" s="1"/>
      <c r="G950" s="24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" x14ac:dyDescent="0.2">
      <c r="A951" s="40"/>
      <c r="B951" s="29"/>
      <c r="C951" s="1"/>
      <c r="D951" s="1"/>
      <c r="E951" s="1"/>
      <c r="F951" s="1"/>
      <c r="G951" s="24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" x14ac:dyDescent="0.2">
      <c r="A952" s="40"/>
      <c r="B952" s="29"/>
      <c r="C952" s="1"/>
      <c r="D952" s="1"/>
      <c r="E952" s="1"/>
      <c r="F952" s="1"/>
      <c r="G952" s="24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" x14ac:dyDescent="0.2">
      <c r="A953" s="40"/>
      <c r="B953" s="29"/>
      <c r="C953" s="1"/>
      <c r="D953" s="1"/>
      <c r="E953" s="1"/>
      <c r="F953" s="1"/>
      <c r="G953" s="24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" x14ac:dyDescent="0.2">
      <c r="A954" s="40"/>
      <c r="B954" s="29"/>
      <c r="C954" s="1"/>
      <c r="D954" s="1"/>
      <c r="E954" s="1"/>
      <c r="F954" s="1"/>
      <c r="G954" s="24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" x14ac:dyDescent="0.2">
      <c r="A955" s="40"/>
      <c r="B955" s="29"/>
      <c r="C955" s="1"/>
      <c r="D955" s="1"/>
      <c r="E955" s="1"/>
      <c r="F955" s="1"/>
      <c r="G955" s="24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" x14ac:dyDescent="0.2">
      <c r="A956" s="40"/>
      <c r="B956" s="29"/>
      <c r="C956" s="1"/>
      <c r="D956" s="1"/>
      <c r="E956" s="1"/>
      <c r="F956" s="1"/>
      <c r="G956" s="24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" x14ac:dyDescent="0.2">
      <c r="A957" s="40"/>
      <c r="B957" s="29"/>
      <c r="C957" s="1"/>
      <c r="D957" s="1"/>
      <c r="E957" s="1"/>
      <c r="F957" s="1"/>
      <c r="G957" s="24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" x14ac:dyDescent="0.2">
      <c r="A958" s="40"/>
      <c r="B958" s="29"/>
      <c r="C958" s="1"/>
      <c r="D958" s="1"/>
      <c r="E958" s="1"/>
      <c r="F958" s="1"/>
      <c r="G958" s="24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" x14ac:dyDescent="0.2">
      <c r="A959" s="40"/>
      <c r="B959" s="29"/>
      <c r="C959" s="1"/>
      <c r="D959" s="1"/>
      <c r="E959" s="1"/>
      <c r="F959" s="1"/>
      <c r="G959" s="24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" x14ac:dyDescent="0.2">
      <c r="A960" s="40"/>
      <c r="B960" s="29"/>
      <c r="C960" s="1"/>
      <c r="D960" s="1"/>
      <c r="E960" s="1"/>
      <c r="F960" s="1"/>
      <c r="G960" s="24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" x14ac:dyDescent="0.2">
      <c r="A961" s="40"/>
      <c r="B961" s="29"/>
      <c r="C961" s="1"/>
      <c r="D961" s="1"/>
      <c r="E961" s="1"/>
      <c r="F961" s="1"/>
      <c r="G961" s="24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" x14ac:dyDescent="0.2">
      <c r="A962" s="40"/>
      <c r="B962" s="29"/>
      <c r="C962" s="1"/>
      <c r="D962" s="1"/>
      <c r="E962" s="1"/>
      <c r="F962" s="1"/>
      <c r="G962" s="24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" x14ac:dyDescent="0.2">
      <c r="A963" s="40"/>
      <c r="B963" s="29"/>
      <c r="C963" s="1"/>
      <c r="D963" s="1"/>
      <c r="E963" s="1"/>
      <c r="F963" s="1"/>
      <c r="G963" s="24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" x14ac:dyDescent="0.2">
      <c r="A964" s="40"/>
      <c r="B964" s="29"/>
      <c r="C964" s="1"/>
      <c r="D964" s="1"/>
      <c r="E964" s="1"/>
      <c r="F964" s="1"/>
      <c r="G964" s="24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" x14ac:dyDescent="0.2">
      <c r="A965" s="40"/>
      <c r="B965" s="29"/>
      <c r="C965" s="1"/>
      <c r="D965" s="1"/>
      <c r="E965" s="1"/>
      <c r="F965" s="1"/>
      <c r="G965" s="24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" x14ac:dyDescent="0.2">
      <c r="A966" s="40"/>
      <c r="B966" s="29"/>
      <c r="C966" s="1"/>
      <c r="D966" s="1"/>
      <c r="E966" s="1"/>
      <c r="F966" s="1"/>
      <c r="G966" s="24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" x14ac:dyDescent="0.2">
      <c r="A967" s="40"/>
      <c r="B967" s="29"/>
      <c r="C967" s="1"/>
      <c r="D967" s="1"/>
      <c r="E967" s="1"/>
      <c r="F967" s="1"/>
      <c r="G967" s="24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" x14ac:dyDescent="0.2">
      <c r="A968" s="40"/>
      <c r="B968" s="29"/>
      <c r="C968" s="1"/>
      <c r="D968" s="1"/>
      <c r="E968" s="1"/>
      <c r="F968" s="1"/>
      <c r="G968" s="24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" x14ac:dyDescent="0.2">
      <c r="A969" s="40"/>
      <c r="B969" s="29"/>
      <c r="C969" s="1"/>
      <c r="D969" s="1"/>
      <c r="E969" s="1"/>
      <c r="F969" s="1"/>
      <c r="G969" s="24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" x14ac:dyDescent="0.2">
      <c r="A970" s="40"/>
      <c r="B970" s="29"/>
      <c r="C970" s="1"/>
      <c r="D970" s="1"/>
      <c r="E970" s="1"/>
      <c r="F970" s="1"/>
      <c r="G970" s="24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" x14ac:dyDescent="0.2">
      <c r="A971" s="40"/>
      <c r="B971" s="29"/>
      <c r="C971" s="1"/>
      <c r="D971" s="1"/>
      <c r="E971" s="1"/>
      <c r="F971" s="1"/>
      <c r="G971" s="24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" x14ac:dyDescent="0.2">
      <c r="A972" s="40"/>
      <c r="B972" s="29"/>
      <c r="C972" s="1"/>
      <c r="D972" s="1"/>
      <c r="E972" s="1"/>
      <c r="F972" s="1"/>
      <c r="G972" s="24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" x14ac:dyDescent="0.2">
      <c r="A973" s="40"/>
      <c r="B973" s="29"/>
      <c r="C973" s="1"/>
      <c r="D973" s="1"/>
      <c r="E973" s="1"/>
      <c r="F973" s="1"/>
      <c r="G973" s="24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" x14ac:dyDescent="0.2">
      <c r="A974" s="40"/>
      <c r="B974" s="29"/>
      <c r="C974" s="1"/>
      <c r="D974" s="1"/>
      <c r="E974" s="1"/>
      <c r="F974" s="1"/>
      <c r="G974" s="24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" x14ac:dyDescent="0.2">
      <c r="A975" s="40"/>
      <c r="B975" s="29"/>
      <c r="C975" s="1"/>
      <c r="D975" s="1"/>
      <c r="E975" s="1"/>
      <c r="F975" s="1"/>
      <c r="G975" s="24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" x14ac:dyDescent="0.2">
      <c r="A976" s="40"/>
      <c r="B976" s="29"/>
      <c r="C976" s="1"/>
      <c r="D976" s="1"/>
      <c r="E976" s="1"/>
      <c r="F976" s="1"/>
      <c r="G976" s="24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" x14ac:dyDescent="0.2">
      <c r="A977" s="40"/>
      <c r="B977" s="29"/>
      <c r="C977" s="1"/>
      <c r="D977" s="1"/>
      <c r="E977" s="1"/>
      <c r="F977" s="1"/>
      <c r="G977" s="24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" x14ac:dyDescent="0.2">
      <c r="A978" s="40"/>
      <c r="B978" s="29"/>
      <c r="C978" s="1"/>
      <c r="D978" s="1"/>
      <c r="E978" s="1"/>
      <c r="F978" s="1"/>
      <c r="G978" s="24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" x14ac:dyDescent="0.2">
      <c r="A979" s="40"/>
      <c r="B979" s="29"/>
      <c r="C979" s="1"/>
      <c r="D979" s="1"/>
      <c r="E979" s="1"/>
      <c r="F979" s="1"/>
      <c r="G979" s="24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" x14ac:dyDescent="0.2">
      <c r="A980" s="40"/>
      <c r="B980" s="29"/>
      <c r="C980" s="1"/>
      <c r="D980" s="1"/>
      <c r="E980" s="1"/>
      <c r="F980" s="1"/>
      <c r="G980" s="24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" x14ac:dyDescent="0.2">
      <c r="A981" s="40"/>
      <c r="B981" s="29"/>
      <c r="C981" s="1"/>
      <c r="D981" s="1"/>
      <c r="E981" s="1"/>
      <c r="F981" s="1"/>
      <c r="G981" s="24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" x14ac:dyDescent="0.2">
      <c r="A982" s="40"/>
      <c r="B982" s="29"/>
      <c r="C982" s="1"/>
      <c r="D982" s="1"/>
      <c r="E982" s="1"/>
      <c r="F982" s="1"/>
      <c r="G982" s="24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" x14ac:dyDescent="0.2">
      <c r="A983" s="40"/>
      <c r="B983" s="29"/>
      <c r="C983" s="1"/>
      <c r="D983" s="1"/>
      <c r="E983" s="1"/>
      <c r="F983" s="1"/>
      <c r="G983" s="24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" x14ac:dyDescent="0.2">
      <c r="A984" s="40"/>
      <c r="B984" s="29"/>
      <c r="C984" s="1"/>
      <c r="D984" s="1"/>
      <c r="E984" s="1"/>
      <c r="F984" s="1"/>
      <c r="G984" s="24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" x14ac:dyDescent="0.2">
      <c r="A985" s="40"/>
      <c r="B985" s="29"/>
      <c r="C985" s="1"/>
      <c r="D985" s="1"/>
      <c r="E985" s="1"/>
      <c r="F985" s="1"/>
      <c r="G985" s="24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" x14ac:dyDescent="0.2">
      <c r="A986" s="40"/>
      <c r="B986" s="29"/>
      <c r="C986" s="1"/>
      <c r="D986" s="1"/>
      <c r="E986" s="1"/>
      <c r="F986" s="1"/>
      <c r="G986" s="24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" x14ac:dyDescent="0.2">
      <c r="A987" s="40"/>
      <c r="B987" s="29"/>
      <c r="C987" s="1"/>
      <c r="D987" s="1"/>
      <c r="E987" s="1"/>
      <c r="F987" s="1"/>
      <c r="G987" s="24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" x14ac:dyDescent="0.2">
      <c r="A988" s="40"/>
      <c r="B988" s="29"/>
      <c r="C988" s="1"/>
      <c r="D988" s="1"/>
      <c r="E988" s="1"/>
      <c r="F988" s="1"/>
      <c r="G988" s="24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" x14ac:dyDescent="0.2">
      <c r="A989" s="40"/>
      <c r="B989" s="29"/>
      <c r="C989" s="1"/>
      <c r="D989" s="1"/>
      <c r="E989" s="1"/>
      <c r="F989" s="1"/>
      <c r="G989" s="24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" x14ac:dyDescent="0.2">
      <c r="A990" s="40"/>
      <c r="B990" s="29"/>
      <c r="C990" s="1"/>
      <c r="D990" s="1"/>
      <c r="E990" s="1"/>
      <c r="F990" s="1"/>
      <c r="G990" s="24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5" x14ac:dyDescent="0.2">
      <c r="A991" s="40"/>
      <c r="B991" s="29"/>
      <c r="C991" s="1"/>
      <c r="D991" s="1"/>
      <c r="E991" s="1"/>
      <c r="F991" s="1"/>
      <c r="G991" s="24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5" x14ac:dyDescent="0.2">
      <c r="A992" s="40"/>
      <c r="B992" s="29"/>
      <c r="C992" s="1"/>
      <c r="D992" s="1"/>
      <c r="E992" s="1"/>
      <c r="F992" s="1"/>
      <c r="G992" s="24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5" x14ac:dyDescent="0.2">
      <c r="A993" s="40"/>
      <c r="B993" s="29"/>
      <c r="C993" s="1"/>
      <c r="D993" s="1"/>
      <c r="E993" s="1"/>
      <c r="F993" s="1"/>
      <c r="G993" s="24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5" x14ac:dyDescent="0.2">
      <c r="A994" s="40"/>
      <c r="B994" s="29"/>
      <c r="C994" s="1"/>
      <c r="D994" s="1"/>
      <c r="E994" s="1"/>
      <c r="F994" s="1"/>
      <c r="G994" s="24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5" x14ac:dyDescent="0.2">
      <c r="A995" s="40"/>
      <c r="B995" s="29"/>
      <c r="C995" s="1"/>
      <c r="D995" s="1"/>
      <c r="E995" s="1"/>
      <c r="F995" s="1"/>
      <c r="G995" s="24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5" x14ac:dyDescent="0.2">
      <c r="A996" s="40"/>
      <c r="B996" s="29"/>
      <c r="C996" s="1"/>
      <c r="D996" s="1"/>
      <c r="E996" s="1"/>
      <c r="F996" s="1"/>
      <c r="G996" s="24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5" x14ac:dyDescent="0.2">
      <c r="A997" s="40"/>
      <c r="B997" s="29"/>
      <c r="C997" s="1"/>
      <c r="D997" s="1"/>
      <c r="E997" s="1"/>
      <c r="F997" s="1"/>
      <c r="G997" s="24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5" x14ac:dyDescent="0.2">
      <c r="A998" s="40"/>
      <c r="B998" s="29"/>
      <c r="C998" s="1"/>
      <c r="D998" s="1"/>
      <c r="E998" s="1"/>
      <c r="F998" s="1"/>
      <c r="G998" s="24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5" x14ac:dyDescent="0.2">
      <c r="A999" s="40"/>
      <c r="B999" s="29"/>
      <c r="C999" s="1"/>
      <c r="D999" s="1"/>
      <c r="E999" s="1"/>
      <c r="F999" s="1"/>
      <c r="G999" s="24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5" x14ac:dyDescent="0.2">
      <c r="A1000" s="40"/>
      <c r="B1000" s="29"/>
      <c r="C1000" s="1"/>
      <c r="D1000" s="1"/>
      <c r="E1000" s="1"/>
      <c r="F1000" s="1"/>
      <c r="G1000" s="24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5" x14ac:dyDescent="0.2">
      <c r="A1001" s="40"/>
      <c r="B1001" s="29"/>
      <c r="C1001" s="1"/>
      <c r="D1001" s="1"/>
      <c r="E1001" s="1"/>
      <c r="F1001" s="1"/>
      <c r="G1001" s="24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5" x14ac:dyDescent="0.2">
      <c r="A1002" s="40"/>
      <c r="B1002" s="29"/>
      <c r="C1002" s="1"/>
      <c r="D1002" s="1"/>
      <c r="E1002" s="1"/>
      <c r="F1002" s="1"/>
      <c r="G1002" s="24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5" x14ac:dyDescent="0.2">
      <c r="A1003" s="40"/>
      <c r="B1003" s="29"/>
      <c r="C1003" s="1"/>
      <c r="D1003" s="1"/>
      <c r="E1003" s="1"/>
      <c r="F1003" s="1"/>
      <c r="G1003" s="24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5" x14ac:dyDescent="0.2">
      <c r="A1004" s="40"/>
      <c r="B1004" s="29"/>
      <c r="C1004" s="1"/>
      <c r="D1004" s="1"/>
      <c r="E1004" s="1"/>
      <c r="F1004" s="1"/>
      <c r="G1004" s="24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5" x14ac:dyDescent="0.2">
      <c r="A1005" s="40"/>
      <c r="B1005" s="29"/>
      <c r="C1005" s="1"/>
      <c r="D1005" s="1"/>
      <c r="E1005" s="1"/>
      <c r="F1005" s="1"/>
      <c r="G1005" s="24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5" x14ac:dyDescent="0.2">
      <c r="A1006" s="40"/>
      <c r="B1006" s="29"/>
      <c r="C1006" s="1"/>
      <c r="D1006" s="1"/>
      <c r="E1006" s="1"/>
      <c r="F1006" s="1"/>
      <c r="G1006" s="24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5" x14ac:dyDescent="0.2">
      <c r="A1007" s="40"/>
      <c r="B1007" s="29"/>
      <c r="C1007" s="1"/>
      <c r="D1007" s="1"/>
      <c r="E1007" s="1"/>
      <c r="F1007" s="1"/>
      <c r="G1007" s="24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5" x14ac:dyDescent="0.2">
      <c r="A1008" s="40"/>
      <c r="B1008" s="29"/>
      <c r="C1008" s="1"/>
      <c r="D1008" s="1"/>
      <c r="E1008" s="1"/>
      <c r="F1008" s="1"/>
      <c r="G1008" s="24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5" x14ac:dyDescent="0.2">
      <c r="A1009" s="40"/>
      <c r="B1009" s="29"/>
      <c r="C1009" s="1"/>
      <c r="D1009" s="1"/>
      <c r="E1009" s="1"/>
      <c r="F1009" s="1"/>
      <c r="G1009" s="24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5" x14ac:dyDescent="0.2">
      <c r="A1010" s="40"/>
      <c r="B1010" s="29"/>
      <c r="C1010" s="1"/>
      <c r="D1010" s="1"/>
      <c r="E1010" s="1"/>
      <c r="F1010" s="1"/>
      <c r="G1010" s="24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5" x14ac:dyDescent="0.2">
      <c r="A1011" s="40"/>
      <c r="B1011" s="29"/>
      <c r="C1011" s="1"/>
      <c r="D1011" s="1"/>
      <c r="E1011" s="1"/>
      <c r="F1011" s="1"/>
      <c r="G1011" s="24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5" x14ac:dyDescent="0.2">
      <c r="A1012" s="40"/>
      <c r="B1012" s="29"/>
      <c r="C1012" s="1"/>
      <c r="D1012" s="1"/>
      <c r="E1012" s="1"/>
      <c r="F1012" s="1"/>
      <c r="G1012" s="24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5" x14ac:dyDescent="0.2">
      <c r="A1013" s="40"/>
      <c r="B1013" s="29"/>
      <c r="C1013" s="1"/>
      <c r="D1013" s="1"/>
      <c r="E1013" s="1"/>
      <c r="F1013" s="1"/>
      <c r="G1013" s="24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5" x14ac:dyDescent="0.2">
      <c r="A1014" s="40"/>
      <c r="B1014" s="29"/>
      <c r="C1014" s="1"/>
      <c r="D1014" s="1"/>
      <c r="E1014" s="1"/>
      <c r="F1014" s="1"/>
      <c r="G1014" s="24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5" x14ac:dyDescent="0.2">
      <c r="A1015" s="40"/>
      <c r="B1015" s="29"/>
      <c r="C1015" s="1"/>
      <c r="D1015" s="1"/>
      <c r="E1015" s="1"/>
      <c r="F1015" s="1"/>
      <c r="G1015" s="24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5" x14ac:dyDescent="0.2">
      <c r="A1016" s="40"/>
      <c r="B1016" s="29"/>
      <c r="C1016" s="1"/>
      <c r="D1016" s="1"/>
      <c r="E1016" s="1"/>
      <c r="F1016" s="1"/>
      <c r="G1016" s="24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5" x14ac:dyDescent="0.2">
      <c r="A1017" s="40"/>
      <c r="B1017" s="29"/>
      <c r="C1017" s="1"/>
      <c r="D1017" s="1"/>
      <c r="E1017" s="1"/>
      <c r="F1017" s="1"/>
      <c r="G1017" s="24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5" x14ac:dyDescent="0.2">
      <c r="A1018" s="40"/>
      <c r="B1018" s="29"/>
      <c r="C1018" s="1"/>
      <c r="D1018" s="1"/>
      <c r="E1018" s="1"/>
      <c r="F1018" s="1"/>
      <c r="G1018" s="24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5" x14ac:dyDescent="0.2">
      <c r="A1019" s="40"/>
      <c r="B1019" s="29"/>
      <c r="C1019" s="1"/>
      <c r="D1019" s="1"/>
      <c r="E1019" s="1"/>
      <c r="F1019" s="1"/>
      <c r="G1019" s="24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5" x14ac:dyDescent="0.2">
      <c r="A1020" s="40"/>
      <c r="B1020" s="29"/>
      <c r="C1020" s="1"/>
      <c r="D1020" s="1"/>
      <c r="E1020" s="1"/>
      <c r="F1020" s="1"/>
      <c r="G1020" s="24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5" x14ac:dyDescent="0.2">
      <c r="A1021" s="40"/>
      <c r="B1021" s="29"/>
      <c r="C1021" s="1"/>
      <c r="D1021" s="1"/>
      <c r="E1021" s="1"/>
      <c r="F1021" s="1"/>
      <c r="G1021" s="24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5" x14ac:dyDescent="0.2">
      <c r="A1022" s="40"/>
      <c r="B1022" s="29"/>
      <c r="C1022" s="1"/>
      <c r="D1022" s="1"/>
      <c r="E1022" s="1"/>
      <c r="F1022" s="1"/>
      <c r="G1022" s="24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5" x14ac:dyDescent="0.2">
      <c r="A1023" s="40"/>
      <c r="B1023" s="29"/>
      <c r="C1023" s="1"/>
      <c r="D1023" s="1"/>
      <c r="E1023" s="1"/>
      <c r="F1023" s="1"/>
      <c r="G1023" s="24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5" x14ac:dyDescent="0.2">
      <c r="A1024" s="40"/>
      <c r="B1024" s="29"/>
      <c r="C1024" s="1"/>
      <c r="D1024" s="1"/>
      <c r="E1024" s="1"/>
      <c r="F1024" s="1"/>
      <c r="G1024" s="24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5" x14ac:dyDescent="0.2">
      <c r="A1025" s="40"/>
      <c r="B1025" s="29"/>
      <c r="C1025" s="1"/>
      <c r="D1025" s="1"/>
      <c r="E1025" s="1"/>
      <c r="F1025" s="1"/>
      <c r="G1025" s="24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5" x14ac:dyDescent="0.2">
      <c r="A1026" s="40"/>
      <c r="B1026" s="29"/>
      <c r="C1026" s="1"/>
      <c r="D1026" s="1"/>
      <c r="E1026" s="1"/>
      <c r="F1026" s="1"/>
      <c r="G1026" s="24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5" x14ac:dyDescent="0.2">
      <c r="A1027" s="40"/>
      <c r="B1027" s="29"/>
      <c r="C1027" s="1"/>
      <c r="D1027" s="1"/>
      <c r="E1027" s="1"/>
      <c r="F1027" s="1"/>
      <c r="G1027" s="24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5" x14ac:dyDescent="0.2">
      <c r="A1028" s="40"/>
      <c r="B1028" s="29"/>
      <c r="C1028" s="1"/>
      <c r="D1028" s="1"/>
      <c r="E1028" s="1"/>
      <c r="F1028" s="1"/>
      <c r="G1028" s="24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5" x14ac:dyDescent="0.2">
      <c r="A1029" s="40"/>
      <c r="B1029" s="29"/>
      <c r="C1029" s="1"/>
      <c r="D1029" s="1"/>
      <c r="E1029" s="1"/>
      <c r="F1029" s="1"/>
      <c r="G1029" s="24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5" x14ac:dyDescent="0.2">
      <c r="A1030" s="40"/>
      <c r="B1030" s="29"/>
      <c r="C1030" s="1"/>
      <c r="D1030" s="1"/>
      <c r="E1030" s="1"/>
      <c r="F1030" s="1"/>
      <c r="G1030" s="24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5" x14ac:dyDescent="0.2">
      <c r="A1031" s="40"/>
      <c r="B1031" s="29"/>
      <c r="C1031" s="1"/>
      <c r="D1031" s="1"/>
      <c r="E1031" s="1"/>
      <c r="F1031" s="1"/>
      <c r="G1031" s="24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5" x14ac:dyDescent="0.2">
      <c r="A1032" s="40"/>
      <c r="B1032" s="29"/>
      <c r="C1032" s="1"/>
      <c r="D1032" s="1"/>
      <c r="E1032" s="1"/>
      <c r="F1032" s="1"/>
      <c r="G1032" s="24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5" x14ac:dyDescent="0.2">
      <c r="A1033" s="40"/>
      <c r="B1033" s="29"/>
      <c r="C1033" s="1"/>
      <c r="D1033" s="1"/>
      <c r="E1033" s="1"/>
      <c r="F1033" s="1"/>
      <c r="G1033" s="24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5" x14ac:dyDescent="0.2">
      <c r="A1034" s="40"/>
      <c r="B1034" s="29"/>
      <c r="C1034" s="1"/>
      <c r="D1034" s="1"/>
      <c r="E1034" s="1"/>
      <c r="F1034" s="1"/>
      <c r="G1034" s="24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5" x14ac:dyDescent="0.2">
      <c r="A1035" s="40"/>
      <c r="B1035" s="29"/>
      <c r="C1035" s="1"/>
      <c r="D1035" s="1"/>
      <c r="E1035" s="1"/>
      <c r="F1035" s="1"/>
      <c r="G1035" s="24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ht="15" x14ac:dyDescent="0.2">
      <c r="A1036" s="40"/>
      <c r="B1036" s="29"/>
      <c r="C1036" s="1"/>
      <c r="D1036" s="1"/>
      <c r="E1036" s="1"/>
      <c r="F1036" s="1"/>
      <c r="G1036" s="24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ht="15" x14ac:dyDescent="0.2">
      <c r="A1037" s="40"/>
      <c r="B1037" s="29"/>
      <c r="C1037" s="1"/>
      <c r="D1037" s="1"/>
      <c r="E1037" s="1"/>
      <c r="F1037" s="1"/>
      <c r="G1037" s="24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  <row r="1038" spans="1:29" ht="15" x14ac:dyDescent="0.2">
      <c r="A1038" s="40"/>
      <c r="B1038" s="29"/>
      <c r="C1038" s="1"/>
      <c r="D1038" s="1"/>
      <c r="E1038" s="1"/>
      <c r="F1038" s="1"/>
      <c r="G1038" s="24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</row>
    <row r="1039" spans="1:29" ht="15" x14ac:dyDescent="0.2">
      <c r="A1039" s="40"/>
      <c r="B1039" s="29"/>
      <c r="C1039" s="1"/>
      <c r="D1039" s="1"/>
      <c r="E1039" s="1"/>
      <c r="F1039" s="1"/>
      <c r="G1039" s="24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</row>
    <row r="1040" spans="1:29" ht="15" x14ac:dyDescent="0.2">
      <c r="A1040" s="40"/>
      <c r="B1040" s="29"/>
      <c r="C1040" s="1"/>
      <c r="D1040" s="1"/>
      <c r="E1040" s="1"/>
      <c r="F1040" s="1"/>
      <c r="G1040" s="24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</row>
    <row r="1041" spans="1:29" ht="15" x14ac:dyDescent="0.2">
      <c r="A1041" s="40"/>
      <c r="B1041" s="29"/>
      <c r="C1041" s="1"/>
      <c r="D1041" s="1"/>
      <c r="E1041" s="1"/>
      <c r="F1041" s="1"/>
      <c r="G1041" s="24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</row>
    <row r="1042" spans="1:29" ht="15" x14ac:dyDescent="0.2">
      <c r="A1042" s="40"/>
      <c r="B1042" s="29"/>
      <c r="C1042" s="1"/>
      <c r="D1042" s="1"/>
      <c r="E1042" s="1"/>
      <c r="F1042" s="1"/>
      <c r="G1042" s="24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</row>
    <row r="1043" spans="1:29" ht="15" x14ac:dyDescent="0.2">
      <c r="A1043" s="40"/>
      <c r="B1043" s="29"/>
      <c r="C1043" s="1"/>
      <c r="D1043" s="1"/>
      <c r="E1043" s="1"/>
      <c r="F1043" s="1"/>
      <c r="G1043" s="24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</row>
    <row r="1044" spans="1:29" ht="15" x14ac:dyDescent="0.2">
      <c r="A1044" s="40"/>
      <c r="B1044" s="29"/>
      <c r="C1044" s="1"/>
      <c r="D1044" s="1"/>
      <c r="E1044" s="1"/>
      <c r="F1044" s="1"/>
      <c r="G1044" s="24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</row>
    <row r="1045" spans="1:29" ht="15" x14ac:dyDescent="0.2">
      <c r="A1045" s="40"/>
      <c r="B1045" s="29"/>
      <c r="C1045" s="1"/>
      <c r="D1045" s="1"/>
      <c r="E1045" s="1"/>
      <c r="F1045" s="1"/>
      <c r="G1045" s="24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</row>
    <row r="1046" spans="1:29" ht="15" x14ac:dyDescent="0.2">
      <c r="A1046" s="40"/>
      <c r="B1046" s="29"/>
      <c r="C1046" s="1"/>
      <c r="D1046" s="1"/>
      <c r="E1046" s="1"/>
      <c r="F1046" s="1"/>
      <c r="G1046" s="24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</row>
    <row r="1047" spans="1:29" ht="15" x14ac:dyDescent="0.2">
      <c r="A1047" s="40"/>
      <c r="B1047" s="29"/>
      <c r="C1047" s="1"/>
      <c r="D1047" s="1"/>
      <c r="E1047" s="1"/>
      <c r="F1047" s="1"/>
      <c r="G1047" s="24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</row>
    <row r="1048" spans="1:29" ht="15" x14ac:dyDescent="0.2">
      <c r="A1048" s="40"/>
      <c r="B1048" s="29"/>
      <c r="C1048" s="1"/>
      <c r="D1048" s="1"/>
      <c r="E1048" s="1"/>
      <c r="F1048" s="1"/>
      <c r="G1048" s="24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</row>
    <row r="1049" spans="1:29" ht="15" x14ac:dyDescent="0.2">
      <c r="A1049" s="40"/>
      <c r="B1049" s="29"/>
      <c r="C1049" s="1"/>
      <c r="D1049" s="1"/>
      <c r="E1049" s="1"/>
      <c r="F1049" s="1"/>
      <c r="G1049" s="24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</row>
    <row r="1050" spans="1:29" ht="15" x14ac:dyDescent="0.2">
      <c r="A1050" s="40"/>
      <c r="B1050" s="29"/>
      <c r="C1050" s="1"/>
      <c r="D1050" s="1"/>
      <c r="E1050" s="1"/>
      <c r="F1050" s="1"/>
      <c r="G1050" s="24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</row>
    <row r="1051" spans="1:29" ht="15" x14ac:dyDescent="0.2">
      <c r="A1051" s="40"/>
      <c r="B1051" s="29"/>
      <c r="C1051" s="1"/>
      <c r="D1051" s="1"/>
      <c r="E1051" s="1"/>
      <c r="F1051" s="1"/>
      <c r="G1051" s="24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</row>
    <row r="1052" spans="1:29" ht="15" x14ac:dyDescent="0.2">
      <c r="A1052" s="40"/>
      <c r="B1052" s="29"/>
      <c r="C1052" s="1"/>
      <c r="D1052" s="1"/>
      <c r="E1052" s="1"/>
      <c r="F1052" s="1"/>
      <c r="G1052" s="24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</row>
    <row r="1053" spans="1:29" ht="15" x14ac:dyDescent="0.2">
      <c r="A1053" s="40"/>
      <c r="B1053" s="29"/>
      <c r="C1053" s="1"/>
      <c r="D1053" s="1"/>
      <c r="E1053" s="1"/>
      <c r="F1053" s="1"/>
      <c r="G1053" s="24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</row>
    <row r="1054" spans="1:29" ht="15" x14ac:dyDescent="0.2">
      <c r="A1054" s="40"/>
      <c r="B1054" s="29"/>
      <c r="C1054" s="1"/>
      <c r="D1054" s="1"/>
      <c r="E1054" s="1"/>
      <c r="F1054" s="1"/>
      <c r="G1054" s="24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</row>
    <row r="1055" spans="1:29" ht="15" x14ac:dyDescent="0.2">
      <c r="A1055" s="40"/>
      <c r="B1055" s="29"/>
      <c r="C1055" s="1"/>
      <c r="D1055" s="1"/>
      <c r="E1055" s="1"/>
      <c r="F1055" s="1"/>
      <c r="G1055" s="24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</row>
    <row r="1056" spans="1:29" ht="15" x14ac:dyDescent="0.2">
      <c r="A1056" s="40"/>
      <c r="B1056" s="29"/>
      <c r="C1056" s="1"/>
      <c r="D1056" s="1"/>
      <c r="E1056" s="1"/>
      <c r="F1056" s="1"/>
      <c r="G1056" s="24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</row>
    <row r="1057" spans="1:29" ht="15" x14ac:dyDescent="0.2">
      <c r="A1057" s="40"/>
      <c r="B1057" s="29"/>
      <c r="C1057" s="1"/>
      <c r="D1057" s="1"/>
      <c r="E1057" s="1"/>
      <c r="F1057" s="1"/>
      <c r="G1057" s="24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</row>
    <row r="1058" spans="1:29" ht="15" x14ac:dyDescent="0.2">
      <c r="A1058" s="40"/>
      <c r="B1058" s="29"/>
      <c r="C1058" s="1"/>
      <c r="D1058" s="1"/>
      <c r="E1058" s="1"/>
      <c r="F1058" s="1"/>
      <c r="G1058" s="24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</row>
    <row r="1059" spans="1:29" ht="15" x14ac:dyDescent="0.2">
      <c r="A1059" s="40"/>
      <c r="B1059" s="29"/>
      <c r="C1059" s="1"/>
      <c r="D1059" s="1"/>
      <c r="E1059" s="1"/>
      <c r="F1059" s="1"/>
      <c r="G1059" s="24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</row>
    <row r="1060" spans="1:29" ht="15" x14ac:dyDescent="0.2">
      <c r="A1060" s="40"/>
      <c r="B1060" s="29"/>
      <c r="C1060" s="1"/>
      <c r="D1060" s="1"/>
      <c r="E1060" s="1"/>
      <c r="F1060" s="1"/>
      <c r="G1060" s="24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</row>
    <row r="1061" spans="1:29" ht="15" x14ac:dyDescent="0.2">
      <c r="A1061" s="40"/>
      <c r="B1061" s="29"/>
      <c r="C1061" s="1"/>
      <c r="D1061" s="1"/>
      <c r="E1061" s="1"/>
      <c r="F1061" s="1"/>
      <c r="G1061" s="24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</row>
    <row r="1062" spans="1:29" ht="15" x14ac:dyDescent="0.2">
      <c r="A1062" s="40"/>
      <c r="B1062" s="29"/>
      <c r="C1062" s="1"/>
      <c r="D1062" s="1"/>
      <c r="E1062" s="1"/>
      <c r="F1062" s="1"/>
      <c r="G1062" s="24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</row>
    <row r="1063" spans="1:29" ht="15" x14ac:dyDescent="0.2">
      <c r="A1063" s="40"/>
      <c r="B1063" s="29"/>
      <c r="C1063" s="1"/>
      <c r="D1063" s="1"/>
      <c r="E1063" s="1"/>
      <c r="F1063" s="1"/>
      <c r="G1063" s="24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</row>
    <row r="1064" spans="1:29" ht="15" x14ac:dyDescent="0.2">
      <c r="A1064" s="40"/>
      <c r="B1064" s="29"/>
      <c r="C1064" s="1"/>
      <c r="D1064" s="1"/>
      <c r="E1064" s="1"/>
      <c r="F1064" s="1"/>
      <c r="G1064" s="24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</row>
    <row r="1065" spans="1:29" ht="15" x14ac:dyDescent="0.2">
      <c r="A1065" s="40"/>
      <c r="B1065" s="29"/>
      <c r="C1065" s="1"/>
      <c r="D1065" s="1"/>
      <c r="E1065" s="1"/>
      <c r="F1065" s="1"/>
      <c r="G1065" s="24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</row>
    <row r="1066" spans="1:29" ht="15" x14ac:dyDescent="0.2">
      <c r="A1066" s="40"/>
      <c r="B1066" s="29"/>
      <c r="C1066" s="1"/>
      <c r="D1066" s="1"/>
      <c r="E1066" s="1"/>
      <c r="F1066" s="1"/>
      <c r="G1066" s="24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</row>
    <row r="1067" spans="1:29" ht="15" x14ac:dyDescent="0.2">
      <c r="A1067" s="40"/>
      <c r="B1067" s="29"/>
      <c r="C1067" s="1"/>
      <c r="D1067" s="1"/>
      <c r="E1067" s="1"/>
      <c r="F1067" s="1"/>
      <c r="G1067" s="24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</row>
    <row r="1068" spans="1:29" ht="15" x14ac:dyDescent="0.2">
      <c r="A1068" s="40"/>
      <c r="B1068" s="29"/>
      <c r="C1068" s="1"/>
      <c r="D1068" s="1"/>
      <c r="E1068" s="1"/>
      <c r="F1068" s="1"/>
      <c r="G1068" s="24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</row>
    <row r="1069" spans="1:29" ht="15" x14ac:dyDescent="0.2">
      <c r="A1069" s="40"/>
      <c r="B1069" s="29"/>
      <c r="C1069" s="1"/>
      <c r="D1069" s="1"/>
      <c r="E1069" s="1"/>
      <c r="F1069" s="1"/>
      <c r="G1069" s="24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</row>
    <row r="1070" spans="1:29" ht="15" x14ac:dyDescent="0.2">
      <c r="A1070" s="40"/>
      <c r="B1070" s="29"/>
      <c r="C1070" s="1"/>
      <c r="D1070" s="1"/>
      <c r="E1070" s="1"/>
      <c r="F1070" s="1"/>
      <c r="G1070" s="24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</row>
  </sheetData>
  <mergeCells count="15">
    <mergeCell ref="A69:G69"/>
    <mergeCell ref="A74:G74"/>
    <mergeCell ref="A86:G86"/>
    <mergeCell ref="H41:H43"/>
    <mergeCell ref="H48:H50"/>
    <mergeCell ref="H52:H54"/>
    <mergeCell ref="H57:H59"/>
    <mergeCell ref="H60:H64"/>
    <mergeCell ref="I60:I64"/>
    <mergeCell ref="A1:H1"/>
    <mergeCell ref="A3:H3"/>
    <mergeCell ref="A17:G17"/>
    <mergeCell ref="A27:G27"/>
    <mergeCell ref="A29:G29"/>
    <mergeCell ref="A36:G36"/>
  </mergeCells>
  <dataValidations count="1">
    <dataValidation type="list" allowBlank="1" showErrorMessage="1" sqref="C4:F16 C18:F26 C28:F28 C30:F35 C37:F68 C70:F73 C75:F85 C87:F93" xr:uid="{00000000-0002-0000-0000-000000000000}">
      <formula1>"-,Passed,Failed,Blocked,Skipped"</formula1>
    </dataValidation>
  </dataValidations>
  <hyperlinks>
    <hyperlink ref="B5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7"/>
  <sheetViews>
    <sheetView workbookViewId="0">
      <selection activeCell="I8" sqref="I8"/>
    </sheetView>
  </sheetViews>
  <sheetFormatPr baseColWidth="10" defaultColWidth="12.796875" defaultRowHeight="15.75" customHeight="1" x14ac:dyDescent="0.2"/>
  <cols>
    <col min="1" max="1" width="14.59765625" customWidth="1"/>
    <col min="2" max="2" width="27.796875" customWidth="1"/>
    <col min="3" max="3" width="12" customWidth="1"/>
    <col min="4" max="4" width="32.796875" customWidth="1"/>
    <col min="5" max="5" width="30.796875" customWidth="1"/>
    <col min="6" max="6" width="37" customWidth="1"/>
    <col min="7" max="7" width="15.19921875" customWidth="1"/>
    <col min="8" max="8" width="15" customWidth="1"/>
    <col min="9" max="9" width="40.796875" customWidth="1"/>
  </cols>
  <sheetData>
    <row r="1" spans="1:26" ht="15" x14ac:dyDescent="0.2">
      <c r="A1" s="148" t="s">
        <v>120</v>
      </c>
      <c r="B1" s="136"/>
      <c r="C1" s="136"/>
      <c r="D1" s="136"/>
      <c r="E1" s="136"/>
      <c r="F1" s="136"/>
      <c r="G1" s="136"/>
      <c r="H1" s="136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30.75" customHeight="1" x14ac:dyDescent="0.2">
      <c r="A2" s="149" t="s">
        <v>121</v>
      </c>
      <c r="B2" s="150"/>
      <c r="C2" s="150"/>
      <c r="D2" s="150"/>
      <c r="E2" s="150"/>
      <c r="F2" s="150"/>
      <c r="G2" s="150"/>
      <c r="H2" s="150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6" ht="30.75" customHeight="1" x14ac:dyDescent="0.2">
      <c r="A3" s="151" t="s">
        <v>122</v>
      </c>
      <c r="B3" s="136"/>
      <c r="C3" s="136"/>
      <c r="D3" s="136"/>
      <c r="E3" s="136"/>
      <c r="F3" s="136"/>
      <c r="G3" s="136"/>
      <c r="H3" s="136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45" x14ac:dyDescent="0.2">
      <c r="A4" s="43" t="s">
        <v>123</v>
      </c>
      <c r="B4" s="43" t="s">
        <v>124</v>
      </c>
      <c r="C4" s="43" t="s">
        <v>125</v>
      </c>
      <c r="D4" s="43" t="s">
        <v>126</v>
      </c>
      <c r="E4" s="43" t="s">
        <v>127</v>
      </c>
      <c r="F4" s="43" t="s">
        <v>128</v>
      </c>
      <c r="G4" s="43" t="s">
        <v>129</v>
      </c>
      <c r="H4" s="43" t="s">
        <v>7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 ht="30" x14ac:dyDescent="0.2">
      <c r="A5" s="152" t="s">
        <v>130</v>
      </c>
      <c r="B5" s="46" t="s">
        <v>131</v>
      </c>
      <c r="C5" s="45"/>
      <c r="D5" s="47" t="s">
        <v>132</v>
      </c>
      <c r="E5" s="48"/>
      <c r="F5" s="47"/>
      <c r="G5" s="46" t="s">
        <v>11</v>
      </c>
      <c r="H5" s="47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48" x14ac:dyDescent="0.2">
      <c r="A6" s="153"/>
      <c r="B6" s="46" t="s">
        <v>133</v>
      </c>
      <c r="C6" s="49"/>
      <c r="D6" s="50" t="s">
        <v>134</v>
      </c>
      <c r="E6" s="51"/>
      <c r="F6" s="47" t="s">
        <v>135</v>
      </c>
      <c r="G6" s="46" t="s">
        <v>11</v>
      </c>
      <c r="H6" s="47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80" x14ac:dyDescent="0.2">
      <c r="A7" s="153"/>
      <c r="B7" s="46" t="s">
        <v>136</v>
      </c>
      <c r="C7" s="47" t="s">
        <v>137</v>
      </c>
      <c r="D7" s="50" t="s">
        <v>138</v>
      </c>
      <c r="E7" s="52" t="s">
        <v>139</v>
      </c>
      <c r="F7" s="47" t="s">
        <v>140</v>
      </c>
      <c r="G7" s="46" t="s">
        <v>11</v>
      </c>
      <c r="H7" s="47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35" x14ac:dyDescent="0.2">
      <c r="A8" s="153"/>
      <c r="B8" s="46" t="s">
        <v>141</v>
      </c>
      <c r="C8" s="47" t="s">
        <v>142</v>
      </c>
      <c r="D8" s="47" t="s">
        <v>143</v>
      </c>
      <c r="E8" s="52" t="s">
        <v>144</v>
      </c>
      <c r="F8" s="47" t="s">
        <v>145</v>
      </c>
      <c r="G8" s="46" t="s">
        <v>11</v>
      </c>
      <c r="H8" s="47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90" x14ac:dyDescent="0.2">
      <c r="A9" s="153"/>
      <c r="B9" s="47" t="s">
        <v>146</v>
      </c>
      <c r="C9" s="47" t="s">
        <v>147</v>
      </c>
      <c r="D9" s="47" t="s">
        <v>148</v>
      </c>
      <c r="E9" s="52" t="s">
        <v>149</v>
      </c>
      <c r="F9" s="47" t="s">
        <v>150</v>
      </c>
      <c r="G9" s="46" t="s">
        <v>11</v>
      </c>
      <c r="H9" s="47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ht="16" x14ac:dyDescent="0.2">
      <c r="A10" s="153"/>
      <c r="B10" s="47" t="s">
        <v>151</v>
      </c>
      <c r="C10" s="45"/>
      <c r="D10" s="47" t="s">
        <v>132</v>
      </c>
      <c r="E10" s="48"/>
      <c r="F10" s="45"/>
      <c r="G10" s="46" t="s">
        <v>11</v>
      </c>
      <c r="H10" s="47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32" x14ac:dyDescent="0.2">
      <c r="A11" s="153"/>
      <c r="B11" s="47" t="s">
        <v>152</v>
      </c>
      <c r="C11" s="53"/>
      <c r="D11" s="47" t="s">
        <v>153</v>
      </c>
      <c r="E11" s="54"/>
      <c r="F11" s="53"/>
      <c r="G11" s="46" t="s">
        <v>11</v>
      </c>
      <c r="H11" s="47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spans="1:26" ht="32" x14ac:dyDescent="0.2">
      <c r="A12" s="153"/>
      <c r="B12" s="47" t="s">
        <v>154</v>
      </c>
      <c r="C12" s="53"/>
      <c r="D12" s="47" t="s">
        <v>155</v>
      </c>
      <c r="E12" s="54"/>
      <c r="F12" s="53"/>
      <c r="G12" s="46" t="s">
        <v>11</v>
      </c>
      <c r="H12" s="47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spans="1:26" ht="32" x14ac:dyDescent="0.2">
      <c r="A13" s="153"/>
      <c r="B13" s="47" t="s">
        <v>156</v>
      </c>
      <c r="C13" s="53"/>
      <c r="D13" s="47" t="s">
        <v>157</v>
      </c>
      <c r="E13" s="54"/>
      <c r="F13" s="53"/>
      <c r="G13" s="46" t="s">
        <v>11</v>
      </c>
      <c r="H13" s="47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16" x14ac:dyDescent="0.2">
      <c r="A14" s="153"/>
      <c r="B14" s="47" t="s">
        <v>158</v>
      </c>
      <c r="C14" s="53"/>
      <c r="D14" s="47" t="s">
        <v>159</v>
      </c>
      <c r="E14" s="54"/>
      <c r="F14" s="53"/>
      <c r="G14" s="46" t="s">
        <v>11</v>
      </c>
      <c r="H14" s="47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6" x14ac:dyDescent="0.2">
      <c r="A15" s="153"/>
      <c r="B15" s="47" t="s">
        <v>160</v>
      </c>
      <c r="C15" s="53"/>
      <c r="D15" s="47" t="s">
        <v>161</v>
      </c>
      <c r="E15" s="54"/>
      <c r="F15" s="53"/>
      <c r="G15" s="46" t="s">
        <v>11</v>
      </c>
      <c r="H15" s="47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6" x14ac:dyDescent="0.2">
      <c r="A16" s="153"/>
      <c r="B16" s="81" t="s">
        <v>162</v>
      </c>
      <c r="C16" s="82"/>
      <c r="D16" s="89" t="s">
        <v>163</v>
      </c>
      <c r="E16" s="83"/>
      <c r="F16" s="155" t="s">
        <v>164</v>
      </c>
      <c r="G16" s="84" t="s">
        <v>11</v>
      </c>
      <c r="H16" s="81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6" x14ac:dyDescent="0.2">
      <c r="A17" s="153"/>
      <c r="B17" s="85" t="s">
        <v>165</v>
      </c>
      <c r="C17" s="86"/>
      <c r="D17" s="90" t="s">
        <v>166</v>
      </c>
      <c r="E17" s="87"/>
      <c r="F17" s="156"/>
      <c r="G17" s="88" t="s">
        <v>20</v>
      </c>
      <c r="H17" s="85" t="s">
        <v>167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30" x14ac:dyDescent="0.2">
      <c r="A18" s="153"/>
      <c r="B18" s="46" t="s">
        <v>168</v>
      </c>
      <c r="C18" s="53"/>
      <c r="D18" s="47" t="s">
        <v>169</v>
      </c>
      <c r="E18" s="54"/>
      <c r="F18" s="53"/>
      <c r="G18" s="46" t="s">
        <v>11</v>
      </c>
      <c r="H18" s="47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32" x14ac:dyDescent="0.2">
      <c r="A19" s="153"/>
      <c r="B19" s="47" t="s">
        <v>170</v>
      </c>
      <c r="C19" s="53"/>
      <c r="D19" s="47" t="s">
        <v>171</v>
      </c>
      <c r="E19" s="54"/>
      <c r="F19" s="53"/>
      <c r="G19" s="46" t="s">
        <v>11</v>
      </c>
      <c r="H19" s="47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6" x14ac:dyDescent="0.2">
      <c r="A20" s="153"/>
      <c r="B20" s="47" t="s">
        <v>172</v>
      </c>
      <c r="C20" s="53"/>
      <c r="D20" s="47" t="s">
        <v>173</v>
      </c>
      <c r="E20" s="54"/>
      <c r="F20" s="53"/>
      <c r="G20" s="46" t="s">
        <v>11</v>
      </c>
      <c r="H20" s="47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6" x14ac:dyDescent="0.2">
      <c r="A21" s="154"/>
      <c r="B21" s="47" t="s">
        <v>174</v>
      </c>
      <c r="C21" s="49"/>
      <c r="D21" s="47" t="s">
        <v>175</v>
      </c>
      <c r="E21" s="51"/>
      <c r="F21" s="49"/>
      <c r="G21" s="46" t="s">
        <v>11</v>
      </c>
      <c r="H21" s="47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5" x14ac:dyDescent="0.2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5" x14ac:dyDescent="0.2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5" x14ac:dyDescent="0.2">
      <c r="A24" s="157" t="s">
        <v>176</v>
      </c>
      <c r="B24" s="136"/>
      <c r="C24" s="136"/>
      <c r="D24" s="136"/>
      <c r="E24" s="136"/>
      <c r="F24" s="136"/>
      <c r="G24" s="136"/>
      <c r="H24" s="136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ht="15" x14ac:dyDescent="0.2">
      <c r="A25" s="151" t="s">
        <v>177</v>
      </c>
      <c r="B25" s="136"/>
      <c r="C25" s="136"/>
      <c r="D25" s="136"/>
      <c r="E25" s="136"/>
      <c r="F25" s="136"/>
      <c r="G25" s="136"/>
      <c r="H25" s="136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45" x14ac:dyDescent="0.2">
      <c r="A26" s="43" t="s">
        <v>123</v>
      </c>
      <c r="B26" s="43" t="s">
        <v>124</v>
      </c>
      <c r="C26" s="43" t="s">
        <v>125</v>
      </c>
      <c r="D26" s="43" t="s">
        <v>126</v>
      </c>
      <c r="E26" s="43" t="s">
        <v>127</v>
      </c>
      <c r="F26" s="43" t="s">
        <v>128</v>
      </c>
      <c r="G26" s="43" t="s">
        <v>129</v>
      </c>
      <c r="H26" s="43" t="s">
        <v>7</v>
      </c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ht="32" x14ac:dyDescent="0.2">
      <c r="A27" s="152" t="s">
        <v>178</v>
      </c>
      <c r="B27" s="46" t="s">
        <v>131</v>
      </c>
      <c r="C27" s="45"/>
      <c r="D27" s="50" t="s">
        <v>179</v>
      </c>
      <c r="E27" s="48"/>
      <c r="F27" s="47" t="s">
        <v>180</v>
      </c>
      <c r="G27" s="46" t="s">
        <v>11</v>
      </c>
      <c r="H27" s="47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48" x14ac:dyDescent="0.2">
      <c r="A28" s="153"/>
      <c r="B28" s="46" t="s">
        <v>181</v>
      </c>
      <c r="C28" s="49"/>
      <c r="D28" s="50" t="s">
        <v>134</v>
      </c>
      <c r="E28" s="51"/>
      <c r="F28" s="47" t="s">
        <v>135</v>
      </c>
      <c r="G28" s="46" t="s">
        <v>11</v>
      </c>
      <c r="H28" s="47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80" x14ac:dyDescent="0.2">
      <c r="A29" s="153"/>
      <c r="B29" s="46" t="s">
        <v>136</v>
      </c>
      <c r="C29" s="47" t="s">
        <v>137</v>
      </c>
      <c r="D29" s="50" t="s">
        <v>138</v>
      </c>
      <c r="E29" s="52" t="s">
        <v>182</v>
      </c>
      <c r="F29" s="47" t="s">
        <v>140</v>
      </c>
      <c r="G29" s="46" t="s">
        <v>11</v>
      </c>
      <c r="H29" s="47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135" x14ac:dyDescent="0.2">
      <c r="A30" s="153"/>
      <c r="B30" s="46" t="s">
        <v>141</v>
      </c>
      <c r="C30" s="47" t="s">
        <v>142</v>
      </c>
      <c r="D30" s="47" t="s">
        <v>183</v>
      </c>
      <c r="E30" s="52" t="s">
        <v>184</v>
      </c>
      <c r="F30" s="47" t="s">
        <v>145</v>
      </c>
      <c r="G30" s="46" t="s">
        <v>11</v>
      </c>
      <c r="H30" s="47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90" x14ac:dyDescent="0.2">
      <c r="A31" s="153"/>
      <c r="B31" s="47" t="s">
        <v>146</v>
      </c>
      <c r="C31" s="47" t="s">
        <v>147</v>
      </c>
      <c r="D31" s="90" t="s">
        <v>148</v>
      </c>
      <c r="E31" s="91" t="s">
        <v>489</v>
      </c>
      <c r="F31" s="47" t="s">
        <v>150</v>
      </c>
      <c r="G31" s="46" t="s">
        <v>20</v>
      </c>
      <c r="H31" s="47" t="s">
        <v>185</v>
      </c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16" x14ac:dyDescent="0.2">
      <c r="A32" s="153"/>
      <c r="B32" s="47" t="s">
        <v>151</v>
      </c>
      <c r="C32" s="45"/>
      <c r="D32" s="47" t="s">
        <v>179</v>
      </c>
      <c r="E32" s="48"/>
      <c r="F32" s="45"/>
      <c r="G32" s="46" t="s">
        <v>11</v>
      </c>
      <c r="H32" s="47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32" x14ac:dyDescent="0.2">
      <c r="A33" s="153"/>
      <c r="B33" s="47" t="s">
        <v>186</v>
      </c>
      <c r="C33" s="53"/>
      <c r="D33" s="47" t="s">
        <v>187</v>
      </c>
      <c r="E33" s="54"/>
      <c r="F33" s="53"/>
      <c r="G33" s="46" t="s">
        <v>11</v>
      </c>
      <c r="H33" s="47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32" x14ac:dyDescent="0.2">
      <c r="A34" s="153"/>
      <c r="B34" s="47" t="s">
        <v>188</v>
      </c>
      <c r="C34" s="53"/>
      <c r="D34" s="47" t="s">
        <v>189</v>
      </c>
      <c r="E34" s="54"/>
      <c r="F34" s="53"/>
      <c r="G34" s="46" t="s">
        <v>11</v>
      </c>
      <c r="H34" s="47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32" x14ac:dyDescent="0.2">
      <c r="A35" s="153"/>
      <c r="B35" s="47" t="s">
        <v>190</v>
      </c>
      <c r="C35" s="53"/>
      <c r="D35" s="47" t="s">
        <v>191</v>
      </c>
      <c r="E35" s="54"/>
      <c r="F35" s="53"/>
      <c r="G35" s="46" t="s">
        <v>11</v>
      </c>
      <c r="H35" s="47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16" x14ac:dyDescent="0.2">
      <c r="A36" s="153"/>
      <c r="B36" s="47" t="s">
        <v>158</v>
      </c>
      <c r="C36" s="53"/>
      <c r="D36" s="47" t="s">
        <v>192</v>
      </c>
      <c r="E36" s="54"/>
      <c r="F36" s="53"/>
      <c r="G36" s="46" t="s">
        <v>11</v>
      </c>
      <c r="H36" s="47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16" x14ac:dyDescent="0.2">
      <c r="A37" s="153"/>
      <c r="B37" s="47" t="s">
        <v>160</v>
      </c>
      <c r="C37" s="53"/>
      <c r="D37" s="47" t="s">
        <v>193</v>
      </c>
      <c r="E37" s="54"/>
      <c r="F37" s="53"/>
      <c r="G37" s="46" t="s">
        <v>11</v>
      </c>
      <c r="H37" s="47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16" x14ac:dyDescent="0.2">
      <c r="A38" s="153"/>
      <c r="B38" s="81" t="s">
        <v>162</v>
      </c>
      <c r="C38" s="82"/>
      <c r="D38" s="81" t="s">
        <v>194</v>
      </c>
      <c r="E38" s="83"/>
      <c r="F38" s="155" t="s">
        <v>164</v>
      </c>
      <c r="G38" s="84" t="s">
        <v>11</v>
      </c>
      <c r="H38" s="81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16" x14ac:dyDescent="0.2">
      <c r="A39" s="153"/>
      <c r="B39" s="85" t="s">
        <v>165</v>
      </c>
      <c r="C39" s="86"/>
      <c r="D39" s="85" t="s">
        <v>195</v>
      </c>
      <c r="E39" s="87"/>
      <c r="F39" s="156"/>
      <c r="G39" s="88" t="s">
        <v>20</v>
      </c>
      <c r="H39" s="85" t="s">
        <v>196</v>
      </c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30" x14ac:dyDescent="0.2">
      <c r="A40" s="153"/>
      <c r="B40" s="46" t="s">
        <v>168</v>
      </c>
      <c r="C40" s="53"/>
      <c r="D40" s="47" t="s">
        <v>197</v>
      </c>
      <c r="E40" s="54"/>
      <c r="F40" s="53"/>
      <c r="G40" s="46" t="s">
        <v>11</v>
      </c>
      <c r="H40" s="47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32" x14ac:dyDescent="0.2">
      <c r="A41" s="153"/>
      <c r="B41" s="47" t="s">
        <v>170</v>
      </c>
      <c r="C41" s="53"/>
      <c r="D41" s="47" t="s">
        <v>171</v>
      </c>
      <c r="E41" s="54"/>
      <c r="F41" s="53"/>
      <c r="G41" s="46" t="s">
        <v>11</v>
      </c>
      <c r="H41" s="47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16" x14ac:dyDescent="0.2">
      <c r="A42" s="153"/>
      <c r="B42" s="47" t="s">
        <v>172</v>
      </c>
      <c r="C42" s="53"/>
      <c r="D42" s="47" t="s">
        <v>198</v>
      </c>
      <c r="E42" s="54"/>
      <c r="F42" s="53"/>
      <c r="G42" s="46" t="s">
        <v>11</v>
      </c>
      <c r="H42" s="47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16" x14ac:dyDescent="0.2">
      <c r="A43" s="154"/>
      <c r="B43" s="47" t="s">
        <v>174</v>
      </c>
      <c r="C43" s="49"/>
      <c r="D43" s="47" t="s">
        <v>199</v>
      </c>
      <c r="E43" s="51"/>
      <c r="F43" s="49"/>
      <c r="G43" s="46" t="s">
        <v>11</v>
      </c>
      <c r="H43" s="47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15" x14ac:dyDescent="0.2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15" x14ac:dyDescent="0.2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15" x14ac:dyDescent="0.2">
      <c r="A46" s="158" t="s">
        <v>200</v>
      </c>
      <c r="B46" s="138"/>
      <c r="C46" s="138"/>
      <c r="D46" s="138"/>
      <c r="E46" s="138"/>
      <c r="F46" s="138"/>
      <c r="G46" s="138"/>
      <c r="H46" s="139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ht="15" x14ac:dyDescent="0.2">
      <c r="A47" s="159" t="s">
        <v>201</v>
      </c>
      <c r="B47" s="138"/>
      <c r="C47" s="138"/>
      <c r="D47" s="138"/>
      <c r="E47" s="138"/>
      <c r="F47" s="138"/>
      <c r="G47" s="138"/>
      <c r="H47" s="139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ht="45" x14ac:dyDescent="0.2">
      <c r="A48" s="55" t="s">
        <v>123</v>
      </c>
      <c r="B48" s="55" t="s">
        <v>124</v>
      </c>
      <c r="C48" s="55" t="s">
        <v>125</v>
      </c>
      <c r="D48" s="55" t="s">
        <v>126</v>
      </c>
      <c r="E48" s="55" t="s">
        <v>127</v>
      </c>
      <c r="F48" s="55" t="s">
        <v>128</v>
      </c>
      <c r="G48" s="55" t="s">
        <v>129</v>
      </c>
      <c r="H48" s="55" t="s">
        <v>7</v>
      </c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32" x14ac:dyDescent="0.2">
      <c r="A49" s="145" t="s">
        <v>202</v>
      </c>
      <c r="B49" s="7" t="s">
        <v>131</v>
      </c>
      <c r="C49" s="56"/>
      <c r="D49" s="57" t="s">
        <v>203</v>
      </c>
      <c r="E49" s="58"/>
      <c r="F49" s="56" t="s">
        <v>180</v>
      </c>
      <c r="G49" s="7" t="s">
        <v>11</v>
      </c>
      <c r="H49" s="56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ht="32" x14ac:dyDescent="0.2">
      <c r="A50" s="146"/>
      <c r="B50" s="7" t="s">
        <v>181</v>
      </c>
      <c r="C50" s="56"/>
      <c r="D50" s="94" t="s">
        <v>134</v>
      </c>
      <c r="E50" s="92"/>
      <c r="F50" s="56" t="s">
        <v>204</v>
      </c>
      <c r="G50" s="7" t="s">
        <v>20</v>
      </c>
      <c r="H50" s="56" t="s">
        <v>205</v>
      </c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ht="75" x14ac:dyDescent="0.2">
      <c r="A51" s="146"/>
      <c r="B51" s="7" t="s">
        <v>206</v>
      </c>
      <c r="C51" s="56" t="s">
        <v>207</v>
      </c>
      <c r="D51" s="93" t="s">
        <v>208</v>
      </c>
      <c r="E51" s="95" t="s">
        <v>490</v>
      </c>
      <c r="F51" s="56" t="s">
        <v>209</v>
      </c>
      <c r="G51" s="7" t="s">
        <v>20</v>
      </c>
      <c r="H51" s="56" t="s">
        <v>205</v>
      </c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225" x14ac:dyDescent="0.2">
      <c r="A52" s="146"/>
      <c r="B52" s="7" t="s">
        <v>210</v>
      </c>
      <c r="C52" s="56" t="s">
        <v>211</v>
      </c>
      <c r="D52" s="56" t="s">
        <v>212</v>
      </c>
      <c r="E52" s="58" t="s">
        <v>213</v>
      </c>
      <c r="F52" s="56" t="s">
        <v>214</v>
      </c>
      <c r="G52" s="7" t="s">
        <v>11</v>
      </c>
      <c r="H52" s="56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ht="180" x14ac:dyDescent="0.2">
      <c r="A53" s="146"/>
      <c r="B53" s="56" t="s">
        <v>215</v>
      </c>
      <c r="C53" s="56" t="s">
        <v>216</v>
      </c>
      <c r="D53" s="56" t="s">
        <v>217</v>
      </c>
      <c r="E53" s="58" t="s">
        <v>218</v>
      </c>
      <c r="F53" s="56" t="s">
        <v>209</v>
      </c>
      <c r="G53" s="7" t="s">
        <v>11</v>
      </c>
      <c r="H53" s="56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ht="16" x14ac:dyDescent="0.2">
      <c r="A54" s="146"/>
      <c r="B54" s="56" t="s">
        <v>151</v>
      </c>
      <c r="C54" s="56"/>
      <c r="D54" s="56" t="s">
        <v>203</v>
      </c>
      <c r="E54" s="58"/>
      <c r="F54" s="56"/>
      <c r="G54" s="7" t="s">
        <v>11</v>
      </c>
      <c r="H54" s="56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ht="32" x14ac:dyDescent="0.2">
      <c r="A55" s="146"/>
      <c r="B55" s="56" t="s">
        <v>152</v>
      </c>
      <c r="C55" s="56"/>
      <c r="D55" s="56" t="s">
        <v>219</v>
      </c>
      <c r="E55" s="58"/>
      <c r="F55" s="56"/>
      <c r="G55" s="7" t="s">
        <v>11</v>
      </c>
      <c r="H55" s="56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32" x14ac:dyDescent="0.2">
      <c r="A56" s="146"/>
      <c r="B56" s="56" t="s">
        <v>154</v>
      </c>
      <c r="C56" s="56"/>
      <c r="D56" s="56" t="s">
        <v>220</v>
      </c>
      <c r="E56" s="58"/>
      <c r="F56" s="56"/>
      <c r="G56" s="7" t="s">
        <v>11</v>
      </c>
      <c r="H56" s="56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ht="32" x14ac:dyDescent="0.2">
      <c r="A57" s="146"/>
      <c r="B57" s="56" t="s">
        <v>156</v>
      </c>
      <c r="C57" s="56"/>
      <c r="D57" s="56" t="s">
        <v>221</v>
      </c>
      <c r="E57" s="58"/>
      <c r="F57" s="56"/>
      <c r="G57" s="7" t="s">
        <v>11</v>
      </c>
      <c r="H57" s="56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ht="16" x14ac:dyDescent="0.2">
      <c r="A58" s="146"/>
      <c r="B58" s="56" t="s">
        <v>158</v>
      </c>
      <c r="C58" s="56"/>
      <c r="D58" s="56" t="s">
        <v>222</v>
      </c>
      <c r="E58" s="58"/>
      <c r="F58" s="56"/>
      <c r="G58" s="7" t="s">
        <v>11</v>
      </c>
      <c r="H58" s="56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ht="16" x14ac:dyDescent="0.2">
      <c r="A59" s="146"/>
      <c r="B59" s="56" t="s">
        <v>160</v>
      </c>
      <c r="C59" s="56"/>
      <c r="D59" s="56" t="s">
        <v>223</v>
      </c>
      <c r="E59" s="58"/>
      <c r="F59" s="56"/>
      <c r="G59" s="7" t="s">
        <v>11</v>
      </c>
      <c r="H59" s="56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ht="32" x14ac:dyDescent="0.2">
      <c r="A60" s="146"/>
      <c r="B60" s="96" t="s">
        <v>162</v>
      </c>
      <c r="C60" s="96"/>
      <c r="D60" s="96" t="s">
        <v>224</v>
      </c>
      <c r="E60" s="97"/>
      <c r="F60" s="98" t="s">
        <v>225</v>
      </c>
      <c r="G60" s="99" t="s">
        <v>11</v>
      </c>
      <c r="H60" s="96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ht="16" x14ac:dyDescent="0.2">
      <c r="A61" s="146"/>
      <c r="B61" s="56" t="s">
        <v>165</v>
      </c>
      <c r="C61" s="56"/>
      <c r="D61" s="56" t="s">
        <v>226</v>
      </c>
      <c r="E61" s="58"/>
      <c r="F61" s="59"/>
      <c r="G61" s="7" t="s">
        <v>11</v>
      </c>
      <c r="H61" s="56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ht="30" x14ac:dyDescent="0.2">
      <c r="A62" s="146"/>
      <c r="B62" s="7" t="s">
        <v>168</v>
      </c>
      <c r="C62" s="56"/>
      <c r="D62" s="56" t="s">
        <v>227</v>
      </c>
      <c r="E62" s="58"/>
      <c r="F62" s="56"/>
      <c r="G62" s="7" t="s">
        <v>11</v>
      </c>
      <c r="H62" s="56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ht="32" x14ac:dyDescent="0.2">
      <c r="A63" s="146"/>
      <c r="B63" s="56" t="s">
        <v>170</v>
      </c>
      <c r="C63" s="56"/>
      <c r="D63" s="56" t="s">
        <v>171</v>
      </c>
      <c r="E63" s="58"/>
      <c r="F63" s="56"/>
      <c r="G63" s="7" t="s">
        <v>11</v>
      </c>
      <c r="H63" s="56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ht="16" x14ac:dyDescent="0.2">
      <c r="A64" s="146"/>
      <c r="B64" s="56" t="s">
        <v>228</v>
      </c>
      <c r="C64" s="56"/>
      <c r="D64" s="56" t="s">
        <v>229</v>
      </c>
      <c r="E64" s="58"/>
      <c r="F64" s="56"/>
      <c r="G64" s="7" t="s">
        <v>11</v>
      </c>
      <c r="H64" s="56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ht="16" x14ac:dyDescent="0.2">
      <c r="A65" s="146"/>
      <c r="B65" s="56" t="s">
        <v>174</v>
      </c>
      <c r="C65" s="56"/>
      <c r="D65" s="56" t="s">
        <v>230</v>
      </c>
      <c r="E65" s="58"/>
      <c r="F65" s="56"/>
      <c r="G65" s="7" t="s">
        <v>11</v>
      </c>
      <c r="H65" s="56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ht="16" x14ac:dyDescent="0.2">
      <c r="A66" s="146"/>
      <c r="B66" s="56" t="s">
        <v>231</v>
      </c>
      <c r="C66" s="56"/>
      <c r="D66" s="56" t="s">
        <v>232</v>
      </c>
      <c r="E66" s="58"/>
      <c r="F66" s="56"/>
      <c r="G66" s="7" t="s">
        <v>11</v>
      </c>
      <c r="H66" s="56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ht="16" x14ac:dyDescent="0.2">
      <c r="A67" s="146"/>
      <c r="B67" s="60" t="s">
        <v>233</v>
      </c>
      <c r="C67" s="56"/>
      <c r="D67" s="60" t="s">
        <v>234</v>
      </c>
      <c r="E67" s="58"/>
      <c r="F67" s="56"/>
      <c r="G67" s="7" t="s">
        <v>11</v>
      </c>
      <c r="H67" s="56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ht="64" x14ac:dyDescent="0.2">
      <c r="A68" s="147"/>
      <c r="B68" s="100" t="s">
        <v>235</v>
      </c>
      <c r="C68" s="100"/>
      <c r="D68" s="100" t="s">
        <v>236</v>
      </c>
      <c r="E68" s="101"/>
      <c r="F68" s="100" t="s">
        <v>237</v>
      </c>
      <c r="G68" s="102" t="s">
        <v>20</v>
      </c>
      <c r="H68" s="100" t="s">
        <v>238</v>
      </c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ht="15" x14ac:dyDescent="0.2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ht="15" x14ac:dyDescent="0.2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ht="15" x14ac:dyDescent="0.2">
      <c r="A71" s="157" t="s">
        <v>239</v>
      </c>
      <c r="B71" s="136"/>
      <c r="C71" s="136"/>
      <c r="D71" s="136"/>
      <c r="E71" s="136"/>
      <c r="F71" s="136"/>
      <c r="G71" s="136"/>
      <c r="H71" s="136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ht="15" x14ac:dyDescent="0.2">
      <c r="A72" s="151" t="s">
        <v>240</v>
      </c>
      <c r="B72" s="136"/>
      <c r="C72" s="136"/>
      <c r="D72" s="136"/>
      <c r="E72" s="136"/>
      <c r="F72" s="136"/>
      <c r="G72" s="136"/>
      <c r="H72" s="136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ht="45" x14ac:dyDescent="0.2">
      <c r="A73" s="43" t="s">
        <v>123</v>
      </c>
      <c r="B73" s="43" t="s">
        <v>124</v>
      </c>
      <c r="C73" s="43" t="s">
        <v>125</v>
      </c>
      <c r="D73" s="43" t="s">
        <v>126</v>
      </c>
      <c r="E73" s="43" t="s">
        <v>127</v>
      </c>
      <c r="F73" s="43" t="s">
        <v>128</v>
      </c>
      <c r="G73" s="43" t="s">
        <v>129</v>
      </c>
      <c r="H73" s="43" t="s">
        <v>7</v>
      </c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ht="32" x14ac:dyDescent="0.2">
      <c r="A74" s="152" t="s">
        <v>241</v>
      </c>
      <c r="B74" s="61" t="s">
        <v>242</v>
      </c>
      <c r="C74" s="62"/>
      <c r="D74" s="47" t="s">
        <v>243</v>
      </c>
      <c r="E74" s="62"/>
      <c r="F74" s="63"/>
      <c r="G74" s="46" t="s">
        <v>11</v>
      </c>
      <c r="H74" s="63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32" x14ac:dyDescent="0.2">
      <c r="A75" s="153"/>
      <c r="B75" s="61" t="s">
        <v>244</v>
      </c>
      <c r="C75" s="64"/>
      <c r="D75" s="47" t="s">
        <v>245</v>
      </c>
      <c r="E75" s="64"/>
      <c r="F75" s="63"/>
      <c r="G75" s="46" t="s">
        <v>11</v>
      </c>
      <c r="H75" s="63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ht="48" x14ac:dyDescent="0.2">
      <c r="A76" s="153"/>
      <c r="B76" s="46" t="s">
        <v>131</v>
      </c>
      <c r="C76" s="64"/>
      <c r="D76" s="50" t="s">
        <v>243</v>
      </c>
      <c r="E76" s="64"/>
      <c r="F76" s="63" t="s">
        <v>246</v>
      </c>
      <c r="G76" s="46" t="s">
        <v>11</v>
      </c>
      <c r="H76" s="63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ht="30" x14ac:dyDescent="0.2">
      <c r="A77" s="154"/>
      <c r="B77" s="46" t="s">
        <v>181</v>
      </c>
      <c r="C77" s="65"/>
      <c r="D77" s="47" t="s">
        <v>134</v>
      </c>
      <c r="E77" s="65"/>
      <c r="F77" s="63"/>
      <c r="G77" s="46" t="s">
        <v>11</v>
      </c>
      <c r="H77" s="63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ht="15" x14ac:dyDescent="0.2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ht="15" x14ac:dyDescent="0.2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ht="15" x14ac:dyDescent="0.2">
      <c r="A80" s="157" t="s">
        <v>247</v>
      </c>
      <c r="B80" s="136"/>
      <c r="C80" s="136"/>
      <c r="D80" s="136"/>
      <c r="E80" s="136"/>
      <c r="F80" s="136"/>
      <c r="G80" s="136"/>
      <c r="H80" s="136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ht="15" x14ac:dyDescent="0.2">
      <c r="A81" s="151" t="s">
        <v>248</v>
      </c>
      <c r="B81" s="136"/>
      <c r="C81" s="136"/>
      <c r="D81" s="136"/>
      <c r="E81" s="136"/>
      <c r="F81" s="136"/>
      <c r="G81" s="136"/>
      <c r="H81" s="136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ht="45" x14ac:dyDescent="0.2">
      <c r="A82" s="43" t="s">
        <v>123</v>
      </c>
      <c r="B82" s="43" t="s">
        <v>124</v>
      </c>
      <c r="C82" s="43" t="s">
        <v>125</v>
      </c>
      <c r="D82" s="43" t="s">
        <v>126</v>
      </c>
      <c r="E82" s="43" t="s">
        <v>127</v>
      </c>
      <c r="F82" s="43" t="s">
        <v>128</v>
      </c>
      <c r="G82" s="43" t="s">
        <v>129</v>
      </c>
      <c r="H82" s="66" t="s">
        <v>7</v>
      </c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ht="30" x14ac:dyDescent="0.2">
      <c r="A83" s="152" t="s">
        <v>249</v>
      </c>
      <c r="B83" s="46" t="s">
        <v>250</v>
      </c>
      <c r="C83" s="45"/>
      <c r="D83" s="47">
        <v>89002228943</v>
      </c>
      <c r="E83" s="45"/>
      <c r="F83" s="47"/>
      <c r="G83" s="46" t="s">
        <v>11</v>
      </c>
      <c r="H83" s="63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ht="32" x14ac:dyDescent="0.2">
      <c r="A84" s="153"/>
      <c r="B84" s="67" t="s">
        <v>133</v>
      </c>
      <c r="C84" s="49"/>
      <c r="D84" s="50" t="s">
        <v>134</v>
      </c>
      <c r="E84" s="49"/>
      <c r="F84" s="47" t="s">
        <v>251</v>
      </c>
      <c r="G84" s="46" t="s">
        <v>11</v>
      </c>
      <c r="H84" s="63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ht="75" x14ac:dyDescent="0.2">
      <c r="A85" s="153"/>
      <c r="B85" s="67" t="s">
        <v>252</v>
      </c>
      <c r="C85" s="47" t="s">
        <v>253</v>
      </c>
      <c r="D85" s="47" t="s">
        <v>254</v>
      </c>
      <c r="E85" s="47" t="s">
        <v>255</v>
      </c>
      <c r="F85" s="47" t="s">
        <v>256</v>
      </c>
      <c r="G85" s="46" t="s">
        <v>11</v>
      </c>
      <c r="H85" s="63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ht="90" x14ac:dyDescent="0.2">
      <c r="A86" s="153"/>
      <c r="B86" s="67" t="s">
        <v>257</v>
      </c>
      <c r="C86" s="47" t="s">
        <v>258</v>
      </c>
      <c r="D86" s="47" t="s">
        <v>259</v>
      </c>
      <c r="E86" s="103" t="s">
        <v>491</v>
      </c>
      <c r="F86" s="47"/>
      <c r="G86" s="46" t="s">
        <v>20</v>
      </c>
      <c r="H86" s="47" t="s">
        <v>260</v>
      </c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ht="48" x14ac:dyDescent="0.2">
      <c r="A87" s="153"/>
      <c r="B87" s="84" t="s">
        <v>261</v>
      </c>
      <c r="C87" s="104"/>
      <c r="D87" s="81">
        <v>89002228943</v>
      </c>
      <c r="E87" s="104"/>
      <c r="F87" s="104" t="s">
        <v>262</v>
      </c>
      <c r="G87" s="84" t="s">
        <v>11</v>
      </c>
      <c r="H87" s="105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ht="45" x14ac:dyDescent="0.2">
      <c r="A88" s="153"/>
      <c r="B88" s="88" t="s">
        <v>263</v>
      </c>
      <c r="C88" s="86"/>
      <c r="D88" s="85">
        <v>19002228943</v>
      </c>
      <c r="E88" s="86"/>
      <c r="F88" s="86"/>
      <c r="G88" s="88" t="s">
        <v>11</v>
      </c>
      <c r="H88" s="106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ht="60" x14ac:dyDescent="0.2">
      <c r="A89" s="153"/>
      <c r="B89" s="84" t="s">
        <v>264</v>
      </c>
      <c r="C89" s="82"/>
      <c r="D89" s="107" t="s">
        <v>265</v>
      </c>
      <c r="E89" s="82"/>
      <c r="F89" s="82" t="s">
        <v>266</v>
      </c>
      <c r="G89" s="84" t="s">
        <v>11</v>
      </c>
      <c r="H89" s="105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ht="60" x14ac:dyDescent="0.2">
      <c r="A90" s="153"/>
      <c r="B90" s="46" t="s">
        <v>267</v>
      </c>
      <c r="C90" s="53"/>
      <c r="D90" s="68" t="s">
        <v>268</v>
      </c>
      <c r="E90" s="53"/>
      <c r="F90" s="53"/>
      <c r="G90" s="46" t="s">
        <v>11</v>
      </c>
      <c r="H90" s="7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ht="45" x14ac:dyDescent="0.2">
      <c r="A91" s="153"/>
      <c r="B91" s="46" t="s">
        <v>269</v>
      </c>
      <c r="C91" s="53"/>
      <c r="D91" s="47" t="s">
        <v>270</v>
      </c>
      <c r="E91" s="53"/>
      <c r="F91" s="53"/>
      <c r="G91" s="46" t="s">
        <v>11</v>
      </c>
      <c r="H91" s="63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ht="30" x14ac:dyDescent="0.2">
      <c r="A92" s="153"/>
      <c r="B92" s="46" t="s">
        <v>271</v>
      </c>
      <c r="C92" s="53"/>
      <c r="D92" s="47" t="s">
        <v>272</v>
      </c>
      <c r="E92" s="53"/>
      <c r="F92" s="53"/>
      <c r="G92" s="46" t="s">
        <v>11</v>
      </c>
      <c r="H92" s="63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ht="16" x14ac:dyDescent="0.2">
      <c r="A93" s="153"/>
      <c r="B93" s="69" t="s">
        <v>273</v>
      </c>
      <c r="C93" s="53"/>
      <c r="D93" s="47" t="s">
        <v>274</v>
      </c>
      <c r="E93" s="53"/>
      <c r="F93" s="53"/>
      <c r="G93" s="46" t="s">
        <v>11</v>
      </c>
      <c r="H93" s="63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ht="30" x14ac:dyDescent="0.2">
      <c r="A94" s="153"/>
      <c r="B94" s="46" t="s">
        <v>275</v>
      </c>
      <c r="C94" s="53"/>
      <c r="D94" s="47" t="s">
        <v>276</v>
      </c>
      <c r="E94" s="53"/>
      <c r="F94" s="53"/>
      <c r="G94" s="46" t="s">
        <v>11</v>
      </c>
      <c r="H94" s="63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ht="16" x14ac:dyDescent="0.2">
      <c r="A95" s="153"/>
      <c r="B95" s="69" t="s">
        <v>277</v>
      </c>
      <c r="C95" s="49"/>
      <c r="D95" s="47" t="s">
        <v>278</v>
      </c>
      <c r="E95" s="49"/>
      <c r="F95" s="49"/>
      <c r="G95" s="46" t="s">
        <v>11</v>
      </c>
      <c r="H95" s="63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ht="120" x14ac:dyDescent="0.2">
      <c r="A96" s="153"/>
      <c r="B96" s="84" t="s">
        <v>279</v>
      </c>
      <c r="C96" s="81" t="s">
        <v>280</v>
      </c>
      <c r="D96" s="107" t="s">
        <v>281</v>
      </c>
      <c r="E96" s="81" t="s">
        <v>282</v>
      </c>
      <c r="F96" s="160" t="s">
        <v>283</v>
      </c>
      <c r="G96" s="84" t="s">
        <v>20</v>
      </c>
      <c r="H96" s="108" t="s">
        <v>284</v>
      </c>
      <c r="I96" s="144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45" x14ac:dyDescent="0.2">
      <c r="A97" s="154"/>
      <c r="B97" s="84" t="s">
        <v>285</v>
      </c>
      <c r="C97" s="81" t="s">
        <v>258</v>
      </c>
      <c r="D97" s="107" t="s">
        <v>286</v>
      </c>
      <c r="E97" s="109" t="s">
        <v>287</v>
      </c>
      <c r="F97" s="161"/>
      <c r="G97" s="84" t="s">
        <v>11</v>
      </c>
      <c r="H97" s="81"/>
      <c r="I97" s="136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15" x14ac:dyDescent="0.2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15" x14ac:dyDescent="0.2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15" x14ac:dyDescent="0.2">
      <c r="A100" s="157" t="s">
        <v>288</v>
      </c>
      <c r="B100" s="136"/>
      <c r="C100" s="136"/>
      <c r="D100" s="136"/>
      <c r="E100" s="136"/>
      <c r="F100" s="136"/>
      <c r="G100" s="136"/>
      <c r="H100" s="136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15" x14ac:dyDescent="0.2">
      <c r="A101" s="151" t="s">
        <v>289</v>
      </c>
      <c r="B101" s="136"/>
      <c r="C101" s="136"/>
      <c r="D101" s="136"/>
      <c r="E101" s="136"/>
      <c r="F101" s="136"/>
      <c r="G101" s="136"/>
      <c r="H101" s="136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45" x14ac:dyDescent="0.2">
      <c r="A102" s="70" t="s">
        <v>123</v>
      </c>
      <c r="B102" s="70" t="s">
        <v>124</v>
      </c>
      <c r="C102" s="70" t="s">
        <v>125</v>
      </c>
      <c r="D102" s="70" t="s">
        <v>126</v>
      </c>
      <c r="E102" s="70" t="s">
        <v>127</v>
      </c>
      <c r="F102" s="70" t="s">
        <v>128</v>
      </c>
      <c r="G102" s="70" t="s">
        <v>129</v>
      </c>
      <c r="H102" s="71" t="s">
        <v>7</v>
      </c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48" x14ac:dyDescent="0.2">
      <c r="A103" s="152" t="s">
        <v>290</v>
      </c>
      <c r="B103" s="104" t="s">
        <v>291</v>
      </c>
      <c r="C103" s="110"/>
      <c r="D103" s="111">
        <f ca="1">TODAY()</f>
        <v>46070</v>
      </c>
      <c r="E103" s="110"/>
      <c r="F103" s="104" t="s">
        <v>292</v>
      </c>
      <c r="G103" s="112" t="s">
        <v>20</v>
      </c>
      <c r="H103" s="81" t="s">
        <v>293</v>
      </c>
      <c r="I103" s="144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80" x14ac:dyDescent="0.2">
      <c r="A104" s="153"/>
      <c r="B104" s="104" t="s">
        <v>294</v>
      </c>
      <c r="C104" s="111">
        <f ca="1">TODAY() + 1</f>
        <v>46071</v>
      </c>
      <c r="D104" s="111">
        <f ca="1">TODAY() + 30</f>
        <v>46100</v>
      </c>
      <c r="E104" s="111">
        <f ca="1">TODAY() + 1</f>
        <v>46071</v>
      </c>
      <c r="F104" s="82" t="s">
        <v>295</v>
      </c>
      <c r="G104" s="112" t="s">
        <v>11</v>
      </c>
      <c r="H104" s="81"/>
      <c r="I104" s="136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80" x14ac:dyDescent="0.2">
      <c r="A105" s="153"/>
      <c r="B105" s="104" t="s">
        <v>296</v>
      </c>
      <c r="C105" s="111">
        <f ca="1">TODAY()-1</f>
        <v>46069</v>
      </c>
      <c r="D105" s="111">
        <f ca="1">TODAY()-30</f>
        <v>46040</v>
      </c>
      <c r="E105" s="111">
        <f ca="1">TODAY()-1</f>
        <v>46069</v>
      </c>
      <c r="F105" s="82" t="s">
        <v>295</v>
      </c>
      <c r="G105" s="84" t="s">
        <v>20</v>
      </c>
      <c r="H105" s="81" t="s">
        <v>297</v>
      </c>
      <c r="I105" s="136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32" x14ac:dyDescent="0.2">
      <c r="A106" s="153"/>
      <c r="B106" s="47" t="s">
        <v>298</v>
      </c>
      <c r="C106" s="53"/>
      <c r="D106" s="72">
        <v>45975</v>
      </c>
      <c r="E106" s="53"/>
      <c r="F106" s="53"/>
      <c r="G106" s="46" t="s">
        <v>11</v>
      </c>
      <c r="H106" s="47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30" x14ac:dyDescent="0.2">
      <c r="A107" s="153"/>
      <c r="B107" s="73" t="s">
        <v>250</v>
      </c>
      <c r="C107" s="47"/>
      <c r="D107" s="113">
        <v>45962</v>
      </c>
      <c r="E107" s="47"/>
      <c r="F107" s="47" t="s">
        <v>299</v>
      </c>
      <c r="G107" s="46" t="s">
        <v>11</v>
      </c>
      <c r="H107" s="47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30" x14ac:dyDescent="0.2">
      <c r="A108" s="154"/>
      <c r="B108" s="67" t="s">
        <v>133</v>
      </c>
      <c r="C108" s="49"/>
      <c r="D108" s="90" t="s">
        <v>134</v>
      </c>
      <c r="E108" s="49"/>
      <c r="F108" s="49"/>
      <c r="G108" s="46" t="s">
        <v>20</v>
      </c>
      <c r="H108" s="47" t="s">
        <v>300</v>
      </c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15" x14ac:dyDescent="0.2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15" x14ac:dyDescent="0.2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15" x14ac:dyDescent="0.2">
      <c r="A111" s="157" t="s">
        <v>301</v>
      </c>
      <c r="B111" s="136"/>
      <c r="C111" s="136"/>
      <c r="D111" s="136"/>
      <c r="E111" s="136"/>
      <c r="F111" s="136"/>
      <c r="G111" s="136"/>
      <c r="H111" s="136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15" x14ac:dyDescent="0.2">
      <c r="A112" s="151" t="s">
        <v>302</v>
      </c>
      <c r="B112" s="136"/>
      <c r="C112" s="136"/>
      <c r="D112" s="136"/>
      <c r="E112" s="136"/>
      <c r="F112" s="136"/>
      <c r="G112" s="136"/>
      <c r="H112" s="136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45" x14ac:dyDescent="0.2">
      <c r="A113" s="70" t="s">
        <v>123</v>
      </c>
      <c r="B113" s="70" t="s">
        <v>124</v>
      </c>
      <c r="C113" s="70" t="s">
        <v>125</v>
      </c>
      <c r="D113" s="70" t="s">
        <v>126</v>
      </c>
      <c r="E113" s="70" t="s">
        <v>127</v>
      </c>
      <c r="F113" s="70" t="s">
        <v>128</v>
      </c>
      <c r="G113" s="70" t="s">
        <v>129</v>
      </c>
      <c r="H113" s="71" t="s">
        <v>7</v>
      </c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48" x14ac:dyDescent="0.2">
      <c r="A114" s="165" t="s">
        <v>303</v>
      </c>
      <c r="B114" s="81" t="s">
        <v>304</v>
      </c>
      <c r="C114" s="81" t="s">
        <v>305</v>
      </c>
      <c r="D114" s="81">
        <v>4</v>
      </c>
      <c r="E114" s="81" t="s">
        <v>306</v>
      </c>
      <c r="F114" s="105"/>
      <c r="G114" s="84" t="s">
        <v>11</v>
      </c>
      <c r="H114" s="105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30" x14ac:dyDescent="0.2">
      <c r="A115" s="166"/>
      <c r="B115" s="46" t="s">
        <v>250</v>
      </c>
      <c r="C115" s="63"/>
      <c r="D115" s="50" t="s">
        <v>307</v>
      </c>
      <c r="E115" s="63"/>
      <c r="F115" s="47" t="s">
        <v>299</v>
      </c>
      <c r="G115" s="46" t="s">
        <v>11</v>
      </c>
      <c r="H115" s="63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30" x14ac:dyDescent="0.2">
      <c r="A116" s="167"/>
      <c r="B116" s="67" t="s">
        <v>133</v>
      </c>
      <c r="C116" s="63"/>
      <c r="D116" s="90" t="s">
        <v>134</v>
      </c>
      <c r="E116" s="65"/>
      <c r="F116" s="63"/>
      <c r="G116" s="46" t="s">
        <v>20</v>
      </c>
      <c r="H116" s="47" t="s">
        <v>308</v>
      </c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5" x14ac:dyDescent="0.2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5" x14ac:dyDescent="0.2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5" x14ac:dyDescent="0.2">
      <c r="A119" s="157" t="s">
        <v>309</v>
      </c>
      <c r="B119" s="136"/>
      <c r="C119" s="136"/>
      <c r="D119" s="136"/>
      <c r="E119" s="136"/>
      <c r="F119" s="136"/>
      <c r="G119" s="136"/>
      <c r="H119" s="136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5" x14ac:dyDescent="0.2">
      <c r="A120" s="151" t="s">
        <v>310</v>
      </c>
      <c r="B120" s="136"/>
      <c r="C120" s="136"/>
      <c r="D120" s="136"/>
      <c r="E120" s="136"/>
      <c r="F120" s="136"/>
      <c r="G120" s="136"/>
      <c r="H120" s="136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45" x14ac:dyDescent="0.2">
      <c r="A121" s="70" t="s">
        <v>123</v>
      </c>
      <c r="B121" s="70" t="s">
        <v>124</v>
      </c>
      <c r="C121" s="70" t="s">
        <v>125</v>
      </c>
      <c r="D121" s="70" t="s">
        <v>126</v>
      </c>
      <c r="E121" s="70" t="s">
        <v>127</v>
      </c>
      <c r="F121" s="70" t="s">
        <v>128</v>
      </c>
      <c r="G121" s="70" t="s">
        <v>129</v>
      </c>
      <c r="H121" s="71" t="s">
        <v>7</v>
      </c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32" x14ac:dyDescent="0.2">
      <c r="A122" s="165" t="s">
        <v>311</v>
      </c>
      <c r="B122" s="114" t="s">
        <v>312</v>
      </c>
      <c r="C122" s="114"/>
      <c r="D122" s="114" t="s">
        <v>313</v>
      </c>
      <c r="E122" s="114"/>
      <c r="F122" s="114"/>
      <c r="G122" s="115" t="s">
        <v>11</v>
      </c>
      <c r="H122" s="114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5" x14ac:dyDescent="0.2">
      <c r="A123" s="166"/>
      <c r="B123" s="116" t="s">
        <v>314</v>
      </c>
      <c r="C123" s="117"/>
      <c r="D123" s="117"/>
      <c r="E123" s="117"/>
      <c r="F123" s="117"/>
      <c r="G123" s="118" t="s">
        <v>11</v>
      </c>
      <c r="H123" s="117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32" x14ac:dyDescent="0.2">
      <c r="A124" s="167"/>
      <c r="B124" s="117" t="s">
        <v>315</v>
      </c>
      <c r="C124" s="117"/>
      <c r="D124" s="117"/>
      <c r="E124" s="117"/>
      <c r="F124" s="117"/>
      <c r="G124" s="118" t="s">
        <v>11</v>
      </c>
      <c r="H124" s="117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5" x14ac:dyDescent="0.2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5" x14ac:dyDescent="0.2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5" x14ac:dyDescent="0.2">
      <c r="A127" s="157" t="s">
        <v>316</v>
      </c>
      <c r="B127" s="136"/>
      <c r="C127" s="136"/>
      <c r="D127" s="136"/>
      <c r="E127" s="136"/>
      <c r="F127" s="136"/>
      <c r="G127" s="136"/>
      <c r="H127" s="136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5" x14ac:dyDescent="0.2">
      <c r="A128" s="151" t="s">
        <v>317</v>
      </c>
      <c r="B128" s="136"/>
      <c r="C128" s="136"/>
      <c r="D128" s="136"/>
      <c r="E128" s="136"/>
      <c r="F128" s="136"/>
      <c r="G128" s="136"/>
      <c r="H128" s="136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45" x14ac:dyDescent="0.2">
      <c r="A129" s="70" t="s">
        <v>123</v>
      </c>
      <c r="B129" s="70" t="s">
        <v>124</v>
      </c>
      <c r="C129" s="70" t="s">
        <v>125</v>
      </c>
      <c r="D129" s="70" t="s">
        <v>126</v>
      </c>
      <c r="E129" s="70" t="s">
        <v>127</v>
      </c>
      <c r="F129" s="70" t="s">
        <v>128</v>
      </c>
      <c r="G129" s="70" t="s">
        <v>129</v>
      </c>
      <c r="H129" s="71" t="s">
        <v>7</v>
      </c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32" x14ac:dyDescent="0.2">
      <c r="A130" s="162" t="s">
        <v>318</v>
      </c>
      <c r="B130" s="47" t="s">
        <v>250</v>
      </c>
      <c r="C130" s="45"/>
      <c r="D130" s="47" t="s">
        <v>319</v>
      </c>
      <c r="E130" s="45"/>
      <c r="F130" s="45"/>
      <c r="G130" s="46" t="s">
        <v>11</v>
      </c>
      <c r="H130" s="47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32" x14ac:dyDescent="0.2">
      <c r="A131" s="163"/>
      <c r="B131" s="47" t="s">
        <v>320</v>
      </c>
      <c r="C131" s="47"/>
      <c r="D131" s="50" t="s">
        <v>321</v>
      </c>
      <c r="E131" s="47"/>
      <c r="F131" s="47" t="s">
        <v>299</v>
      </c>
      <c r="G131" s="46" t="s">
        <v>11</v>
      </c>
      <c r="H131" s="47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20" x14ac:dyDescent="0.2">
      <c r="A132" s="163"/>
      <c r="B132" s="47" t="s">
        <v>322</v>
      </c>
      <c r="C132" s="47" t="s">
        <v>323</v>
      </c>
      <c r="D132" s="47" t="s">
        <v>324</v>
      </c>
      <c r="E132" s="47" t="s">
        <v>325</v>
      </c>
      <c r="F132" s="47" t="s">
        <v>299</v>
      </c>
      <c r="G132" s="46" t="s">
        <v>11</v>
      </c>
      <c r="H132" s="47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05" x14ac:dyDescent="0.2">
      <c r="A133" s="163"/>
      <c r="B133" s="47" t="s">
        <v>326</v>
      </c>
      <c r="C133" s="47" t="s">
        <v>327</v>
      </c>
      <c r="D133" s="90" t="s">
        <v>328</v>
      </c>
      <c r="E133" s="90" t="s">
        <v>492</v>
      </c>
      <c r="F133" s="47" t="s">
        <v>299</v>
      </c>
      <c r="G133" s="46" t="s">
        <v>20</v>
      </c>
      <c r="H133" s="47" t="s">
        <v>329</v>
      </c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6" x14ac:dyDescent="0.2">
      <c r="A134" s="163"/>
      <c r="B134" s="47" t="s">
        <v>151</v>
      </c>
      <c r="C134" s="45"/>
      <c r="D134" s="47" t="s">
        <v>319</v>
      </c>
      <c r="E134" s="45"/>
      <c r="F134" s="53"/>
      <c r="G134" s="46" t="s">
        <v>11</v>
      </c>
      <c r="H134" s="47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6" x14ac:dyDescent="0.2">
      <c r="A135" s="163"/>
      <c r="B135" s="47" t="s">
        <v>231</v>
      </c>
      <c r="C135" s="53"/>
      <c r="D135" s="47" t="s">
        <v>330</v>
      </c>
      <c r="E135" s="53"/>
      <c r="F135" s="53"/>
      <c r="G135" s="46" t="s">
        <v>11</v>
      </c>
      <c r="H135" s="47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6" x14ac:dyDescent="0.2">
      <c r="A136" s="163"/>
      <c r="B136" s="47" t="s">
        <v>233</v>
      </c>
      <c r="C136" s="53"/>
      <c r="D136" s="47" t="s">
        <v>331</v>
      </c>
      <c r="E136" s="53"/>
      <c r="F136" s="53"/>
      <c r="G136" s="46" t="s">
        <v>11</v>
      </c>
      <c r="H136" s="47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32" x14ac:dyDescent="0.2">
      <c r="A137" s="163"/>
      <c r="B137" s="47" t="s">
        <v>152</v>
      </c>
      <c r="C137" s="53"/>
      <c r="D137" s="47" t="s">
        <v>332</v>
      </c>
      <c r="E137" s="53"/>
      <c r="F137" s="53"/>
      <c r="G137" s="46" t="s">
        <v>11</v>
      </c>
      <c r="H137" s="47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32" x14ac:dyDescent="0.2">
      <c r="A138" s="163"/>
      <c r="B138" s="47" t="s">
        <v>154</v>
      </c>
      <c r="C138" s="53"/>
      <c r="D138" s="47" t="s">
        <v>333</v>
      </c>
      <c r="E138" s="53"/>
      <c r="F138" s="53"/>
      <c r="G138" s="46" t="s">
        <v>11</v>
      </c>
      <c r="H138" s="47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32" x14ac:dyDescent="0.2">
      <c r="A139" s="163"/>
      <c r="B139" s="47" t="s">
        <v>156</v>
      </c>
      <c r="C139" s="53"/>
      <c r="D139" s="47" t="s">
        <v>334</v>
      </c>
      <c r="E139" s="53"/>
      <c r="F139" s="53"/>
      <c r="G139" s="46" t="s">
        <v>11</v>
      </c>
      <c r="H139" s="47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6" x14ac:dyDescent="0.2">
      <c r="A140" s="163"/>
      <c r="B140" s="47" t="s">
        <v>158</v>
      </c>
      <c r="C140" s="53"/>
      <c r="D140" s="47" t="s">
        <v>335</v>
      </c>
      <c r="E140" s="53"/>
      <c r="F140" s="53"/>
      <c r="G140" s="46" t="s">
        <v>11</v>
      </c>
      <c r="H140" s="47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6" x14ac:dyDescent="0.2">
      <c r="A141" s="163"/>
      <c r="B141" s="47" t="s">
        <v>160</v>
      </c>
      <c r="C141" s="53"/>
      <c r="D141" s="47" t="s">
        <v>336</v>
      </c>
      <c r="E141" s="53"/>
      <c r="F141" s="53"/>
      <c r="G141" s="46" t="s">
        <v>11</v>
      </c>
      <c r="H141" s="47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6" x14ac:dyDescent="0.2">
      <c r="A142" s="163"/>
      <c r="B142" s="47" t="s">
        <v>337</v>
      </c>
      <c r="C142" s="53"/>
      <c r="D142" s="47" t="s">
        <v>338</v>
      </c>
      <c r="E142" s="53"/>
      <c r="F142" s="53"/>
      <c r="G142" s="46" t="s">
        <v>11</v>
      </c>
      <c r="H142" s="47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6" x14ac:dyDescent="0.2">
      <c r="A143" s="163"/>
      <c r="B143" s="47" t="s">
        <v>165</v>
      </c>
      <c r="C143" s="53"/>
      <c r="D143" s="47" t="s">
        <v>339</v>
      </c>
      <c r="E143" s="53"/>
      <c r="F143" s="53"/>
      <c r="G143" s="46" t="s">
        <v>11</v>
      </c>
      <c r="H143" s="47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30" x14ac:dyDescent="0.2">
      <c r="A144" s="163"/>
      <c r="B144" s="46" t="s">
        <v>168</v>
      </c>
      <c r="C144" s="53"/>
      <c r="D144" s="90" t="s">
        <v>340</v>
      </c>
      <c r="E144" s="53"/>
      <c r="F144" s="53"/>
      <c r="G144" s="46" t="s">
        <v>20</v>
      </c>
      <c r="H144" s="47" t="s">
        <v>341</v>
      </c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32" x14ac:dyDescent="0.2">
      <c r="A145" s="163"/>
      <c r="B145" s="47" t="s">
        <v>170</v>
      </c>
      <c r="C145" s="53"/>
      <c r="D145" s="90" t="s">
        <v>171</v>
      </c>
      <c r="E145" s="53"/>
      <c r="F145" s="53"/>
      <c r="G145" s="46" t="s">
        <v>20</v>
      </c>
      <c r="H145" s="47" t="s">
        <v>342</v>
      </c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6" x14ac:dyDescent="0.2">
      <c r="A146" s="163"/>
      <c r="B146" s="47" t="s">
        <v>228</v>
      </c>
      <c r="C146" s="53"/>
      <c r="D146" s="119" t="s">
        <v>343</v>
      </c>
      <c r="E146" s="53"/>
      <c r="F146" s="53"/>
      <c r="G146" s="46" t="s">
        <v>11</v>
      </c>
      <c r="H146" s="47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6" x14ac:dyDescent="0.2">
      <c r="A147" s="164"/>
      <c r="B147" s="47" t="s">
        <v>174</v>
      </c>
      <c r="C147" s="49"/>
      <c r="D147" s="90" t="s">
        <v>344</v>
      </c>
      <c r="E147" s="49"/>
      <c r="F147" s="49"/>
      <c r="G147" s="46" t="s">
        <v>20</v>
      </c>
      <c r="H147" s="47" t="s">
        <v>345</v>
      </c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5" x14ac:dyDescent="0.2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15" x14ac:dyDescent="0.2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5" x14ac:dyDescent="0.2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5" x14ac:dyDescent="0.2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5" x14ac:dyDescent="0.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5" x14ac:dyDescent="0.2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5" x14ac:dyDescent="0.2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5" x14ac:dyDescent="0.2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5" x14ac:dyDescent="0.2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5" x14ac:dyDescent="0.2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5" x14ac:dyDescent="0.2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5" x14ac:dyDescent="0.2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5" x14ac:dyDescent="0.2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5" x14ac:dyDescent="0.2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5" x14ac:dyDescent="0.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5" x14ac:dyDescent="0.2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5" x14ac:dyDescent="0.2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5" x14ac:dyDescent="0.2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5" x14ac:dyDescent="0.2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5" x14ac:dyDescent="0.2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5" x14ac:dyDescent="0.2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5" x14ac:dyDescent="0.2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5" x14ac:dyDescent="0.2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5" x14ac:dyDescent="0.2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5" x14ac:dyDescent="0.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5" x14ac:dyDescent="0.2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5" x14ac:dyDescent="0.2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5" x14ac:dyDescent="0.2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5" x14ac:dyDescent="0.2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5" x14ac:dyDescent="0.2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5" x14ac:dyDescent="0.2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5" x14ac:dyDescent="0.2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5" x14ac:dyDescent="0.2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5" x14ac:dyDescent="0.2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5" x14ac:dyDescent="0.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5" x14ac:dyDescent="0.2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5" x14ac:dyDescent="0.2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5" x14ac:dyDescent="0.2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5" x14ac:dyDescent="0.2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5" x14ac:dyDescent="0.2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5" x14ac:dyDescent="0.2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5" x14ac:dyDescent="0.2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5" x14ac:dyDescent="0.2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5" x14ac:dyDescent="0.2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5" x14ac:dyDescent="0.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5" x14ac:dyDescent="0.2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5" x14ac:dyDescent="0.2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5" x14ac:dyDescent="0.2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5" x14ac:dyDescent="0.2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5" x14ac:dyDescent="0.2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5" x14ac:dyDescent="0.2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5" x14ac:dyDescent="0.2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5" x14ac:dyDescent="0.2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5" x14ac:dyDescent="0.2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5" x14ac:dyDescent="0.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5" x14ac:dyDescent="0.2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5" x14ac:dyDescent="0.2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5" x14ac:dyDescent="0.2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5" x14ac:dyDescent="0.2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5" x14ac:dyDescent="0.2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5" x14ac:dyDescent="0.2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5" x14ac:dyDescent="0.2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5" x14ac:dyDescent="0.2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5" x14ac:dyDescent="0.2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5" x14ac:dyDescent="0.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5" x14ac:dyDescent="0.2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5" x14ac:dyDescent="0.2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5" x14ac:dyDescent="0.2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" x14ac:dyDescent="0.2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15" x14ac:dyDescent="0.2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15" x14ac:dyDescent="0.2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15" x14ac:dyDescent="0.2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15" x14ac:dyDescent="0.2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15" x14ac:dyDescent="0.2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15" x14ac:dyDescent="0.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15" x14ac:dyDescent="0.2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15" x14ac:dyDescent="0.2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15" x14ac:dyDescent="0.2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15" x14ac:dyDescent="0.2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15" x14ac:dyDescent="0.2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15" x14ac:dyDescent="0.2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15" x14ac:dyDescent="0.2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15" x14ac:dyDescent="0.2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15" x14ac:dyDescent="0.2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15" x14ac:dyDescent="0.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15" x14ac:dyDescent="0.2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15" x14ac:dyDescent="0.2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15" x14ac:dyDescent="0.2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15" x14ac:dyDescent="0.2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15" x14ac:dyDescent="0.2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15" x14ac:dyDescent="0.2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15" x14ac:dyDescent="0.2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15" x14ac:dyDescent="0.2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15" x14ac:dyDescent="0.2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15" x14ac:dyDescent="0.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15" x14ac:dyDescent="0.2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15" x14ac:dyDescent="0.2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15" x14ac:dyDescent="0.2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15" x14ac:dyDescent="0.2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15" x14ac:dyDescent="0.2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15" x14ac:dyDescent="0.2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15" x14ac:dyDescent="0.2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15" x14ac:dyDescent="0.2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15" x14ac:dyDescent="0.2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15" x14ac:dyDescent="0.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15" x14ac:dyDescent="0.2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15" x14ac:dyDescent="0.2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15" x14ac:dyDescent="0.2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15" x14ac:dyDescent="0.2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15" x14ac:dyDescent="0.2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15" x14ac:dyDescent="0.2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15" x14ac:dyDescent="0.2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15" x14ac:dyDescent="0.2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15" x14ac:dyDescent="0.2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15" x14ac:dyDescent="0.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15" x14ac:dyDescent="0.2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15" x14ac:dyDescent="0.2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15" x14ac:dyDescent="0.2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15" x14ac:dyDescent="0.2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15" x14ac:dyDescent="0.2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15" x14ac:dyDescent="0.2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15" x14ac:dyDescent="0.2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15" x14ac:dyDescent="0.2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15" x14ac:dyDescent="0.2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15" x14ac:dyDescent="0.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15" x14ac:dyDescent="0.2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15" x14ac:dyDescent="0.2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15" x14ac:dyDescent="0.2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15" x14ac:dyDescent="0.2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15" x14ac:dyDescent="0.2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15" x14ac:dyDescent="0.2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15" x14ac:dyDescent="0.2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15" x14ac:dyDescent="0.2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15" x14ac:dyDescent="0.2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15" x14ac:dyDescent="0.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15" x14ac:dyDescent="0.2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15" x14ac:dyDescent="0.2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15" x14ac:dyDescent="0.2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15" x14ac:dyDescent="0.2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15" x14ac:dyDescent="0.2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15" x14ac:dyDescent="0.2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15" x14ac:dyDescent="0.2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15" x14ac:dyDescent="0.2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15" x14ac:dyDescent="0.2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15" x14ac:dyDescent="0.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15" x14ac:dyDescent="0.2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15" x14ac:dyDescent="0.2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15" x14ac:dyDescent="0.2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15" x14ac:dyDescent="0.2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15" x14ac:dyDescent="0.2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15" x14ac:dyDescent="0.2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15" x14ac:dyDescent="0.2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15" x14ac:dyDescent="0.2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15" x14ac:dyDescent="0.2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15" x14ac:dyDescent="0.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15" x14ac:dyDescent="0.2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15" x14ac:dyDescent="0.2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15" x14ac:dyDescent="0.2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15" x14ac:dyDescent="0.2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15" x14ac:dyDescent="0.2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15" x14ac:dyDescent="0.2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15" x14ac:dyDescent="0.2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15" x14ac:dyDescent="0.2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15" x14ac:dyDescent="0.2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15" x14ac:dyDescent="0.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15" x14ac:dyDescent="0.2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15" x14ac:dyDescent="0.2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15" x14ac:dyDescent="0.2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15" x14ac:dyDescent="0.2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15" x14ac:dyDescent="0.2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15" x14ac:dyDescent="0.2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15" x14ac:dyDescent="0.2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15" x14ac:dyDescent="0.2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15" x14ac:dyDescent="0.2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15" x14ac:dyDescent="0.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15" x14ac:dyDescent="0.2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15" x14ac:dyDescent="0.2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15" x14ac:dyDescent="0.2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15" x14ac:dyDescent="0.2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15" x14ac:dyDescent="0.2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15" x14ac:dyDescent="0.2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15" x14ac:dyDescent="0.2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15" x14ac:dyDescent="0.2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15" x14ac:dyDescent="0.2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15" x14ac:dyDescent="0.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15" x14ac:dyDescent="0.2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15" x14ac:dyDescent="0.2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15" x14ac:dyDescent="0.2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15" x14ac:dyDescent="0.2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15" x14ac:dyDescent="0.2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15" x14ac:dyDescent="0.2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15" x14ac:dyDescent="0.2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15" x14ac:dyDescent="0.2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15" x14ac:dyDescent="0.2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15" x14ac:dyDescent="0.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15" x14ac:dyDescent="0.2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15" x14ac:dyDescent="0.2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15" x14ac:dyDescent="0.2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15" x14ac:dyDescent="0.2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15" x14ac:dyDescent="0.2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15" x14ac:dyDescent="0.2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15" x14ac:dyDescent="0.2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15" x14ac:dyDescent="0.2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15" x14ac:dyDescent="0.2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15" x14ac:dyDescent="0.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15" x14ac:dyDescent="0.2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15" x14ac:dyDescent="0.2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15" x14ac:dyDescent="0.2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15" x14ac:dyDescent="0.2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15" x14ac:dyDescent="0.2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15" x14ac:dyDescent="0.2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15" x14ac:dyDescent="0.2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15" x14ac:dyDescent="0.2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15" x14ac:dyDescent="0.2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15" x14ac:dyDescent="0.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15" x14ac:dyDescent="0.2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15" x14ac:dyDescent="0.2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15" x14ac:dyDescent="0.2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15" x14ac:dyDescent="0.2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15" x14ac:dyDescent="0.2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15" x14ac:dyDescent="0.2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15" x14ac:dyDescent="0.2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15" x14ac:dyDescent="0.2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15" x14ac:dyDescent="0.2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15" x14ac:dyDescent="0.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15" x14ac:dyDescent="0.2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15" x14ac:dyDescent="0.2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15" x14ac:dyDescent="0.2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15" x14ac:dyDescent="0.2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15" x14ac:dyDescent="0.2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15" x14ac:dyDescent="0.2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15" x14ac:dyDescent="0.2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15" x14ac:dyDescent="0.2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15" x14ac:dyDescent="0.2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15" x14ac:dyDescent="0.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15" x14ac:dyDescent="0.2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15" x14ac:dyDescent="0.2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15" x14ac:dyDescent="0.2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15" x14ac:dyDescent="0.2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15" x14ac:dyDescent="0.2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15" x14ac:dyDescent="0.2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15" x14ac:dyDescent="0.2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15" x14ac:dyDescent="0.2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15" x14ac:dyDescent="0.2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15" x14ac:dyDescent="0.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15" x14ac:dyDescent="0.2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15" x14ac:dyDescent="0.2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15" x14ac:dyDescent="0.2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15" x14ac:dyDescent="0.2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15" x14ac:dyDescent="0.2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15" x14ac:dyDescent="0.2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15" x14ac:dyDescent="0.2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15" x14ac:dyDescent="0.2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15" x14ac:dyDescent="0.2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15" x14ac:dyDescent="0.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15" x14ac:dyDescent="0.2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15" x14ac:dyDescent="0.2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15" x14ac:dyDescent="0.2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15" x14ac:dyDescent="0.2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15" x14ac:dyDescent="0.2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15" x14ac:dyDescent="0.2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15" x14ac:dyDescent="0.2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15" x14ac:dyDescent="0.2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15" x14ac:dyDescent="0.2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15" x14ac:dyDescent="0.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15" x14ac:dyDescent="0.2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15" x14ac:dyDescent="0.2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15" x14ac:dyDescent="0.2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15" x14ac:dyDescent="0.2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15" x14ac:dyDescent="0.2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15" x14ac:dyDescent="0.2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15" x14ac:dyDescent="0.2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15" x14ac:dyDescent="0.2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15" x14ac:dyDescent="0.2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15" x14ac:dyDescent="0.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15" x14ac:dyDescent="0.2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15" x14ac:dyDescent="0.2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15" x14ac:dyDescent="0.2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15" x14ac:dyDescent="0.2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15" x14ac:dyDescent="0.2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15" x14ac:dyDescent="0.2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15" x14ac:dyDescent="0.2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15" x14ac:dyDescent="0.2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15" x14ac:dyDescent="0.2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15" x14ac:dyDescent="0.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15" x14ac:dyDescent="0.2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15" x14ac:dyDescent="0.2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15" x14ac:dyDescent="0.2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15" x14ac:dyDescent="0.2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15" x14ac:dyDescent="0.2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15" x14ac:dyDescent="0.2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15" x14ac:dyDescent="0.2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15" x14ac:dyDescent="0.2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15" x14ac:dyDescent="0.2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15" x14ac:dyDescent="0.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15" x14ac:dyDescent="0.2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15" x14ac:dyDescent="0.2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15" x14ac:dyDescent="0.2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15" x14ac:dyDescent="0.2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15" x14ac:dyDescent="0.2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15" x14ac:dyDescent="0.2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15" x14ac:dyDescent="0.2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15" x14ac:dyDescent="0.2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15" x14ac:dyDescent="0.2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15" x14ac:dyDescent="0.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15" x14ac:dyDescent="0.2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15" x14ac:dyDescent="0.2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15" x14ac:dyDescent="0.2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15" x14ac:dyDescent="0.2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15" x14ac:dyDescent="0.2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15" x14ac:dyDescent="0.2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15" x14ac:dyDescent="0.2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15" x14ac:dyDescent="0.2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15" x14ac:dyDescent="0.2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15" x14ac:dyDescent="0.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15" x14ac:dyDescent="0.2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15" x14ac:dyDescent="0.2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15" x14ac:dyDescent="0.2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15" x14ac:dyDescent="0.2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15" x14ac:dyDescent="0.2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15" x14ac:dyDescent="0.2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15" x14ac:dyDescent="0.2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15" x14ac:dyDescent="0.2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15" x14ac:dyDescent="0.2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15" x14ac:dyDescent="0.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15" x14ac:dyDescent="0.2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15" x14ac:dyDescent="0.2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15" x14ac:dyDescent="0.2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15" x14ac:dyDescent="0.2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15" x14ac:dyDescent="0.2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15" x14ac:dyDescent="0.2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15" x14ac:dyDescent="0.2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15" x14ac:dyDescent="0.2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15" x14ac:dyDescent="0.2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15" x14ac:dyDescent="0.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15" x14ac:dyDescent="0.2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15" x14ac:dyDescent="0.2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15" x14ac:dyDescent="0.2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15" x14ac:dyDescent="0.2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15" x14ac:dyDescent="0.2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15" x14ac:dyDescent="0.2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15" x14ac:dyDescent="0.2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15" x14ac:dyDescent="0.2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15" x14ac:dyDescent="0.2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15" x14ac:dyDescent="0.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15" x14ac:dyDescent="0.2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15" x14ac:dyDescent="0.2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15" x14ac:dyDescent="0.2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15" x14ac:dyDescent="0.2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15" x14ac:dyDescent="0.2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15" x14ac:dyDescent="0.2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15" x14ac:dyDescent="0.2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15" x14ac:dyDescent="0.2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15" x14ac:dyDescent="0.2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15" x14ac:dyDescent="0.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15" x14ac:dyDescent="0.2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15" x14ac:dyDescent="0.2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15" x14ac:dyDescent="0.2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15" x14ac:dyDescent="0.2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15" x14ac:dyDescent="0.2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15" x14ac:dyDescent="0.2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15" x14ac:dyDescent="0.2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15" x14ac:dyDescent="0.2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15" x14ac:dyDescent="0.2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15" x14ac:dyDescent="0.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15" x14ac:dyDescent="0.2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15" x14ac:dyDescent="0.2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15" x14ac:dyDescent="0.2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15" x14ac:dyDescent="0.2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15" x14ac:dyDescent="0.2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15" x14ac:dyDescent="0.2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15" x14ac:dyDescent="0.2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15" x14ac:dyDescent="0.2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15" x14ac:dyDescent="0.2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15" x14ac:dyDescent="0.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15" x14ac:dyDescent="0.2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15" x14ac:dyDescent="0.2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15" x14ac:dyDescent="0.2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15" x14ac:dyDescent="0.2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15" x14ac:dyDescent="0.2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15" x14ac:dyDescent="0.2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15" x14ac:dyDescent="0.2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15" x14ac:dyDescent="0.2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15" x14ac:dyDescent="0.2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15" x14ac:dyDescent="0.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15" x14ac:dyDescent="0.2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15" x14ac:dyDescent="0.2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15" x14ac:dyDescent="0.2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15" x14ac:dyDescent="0.2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15" x14ac:dyDescent="0.2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15" x14ac:dyDescent="0.2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15" x14ac:dyDescent="0.2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15" x14ac:dyDescent="0.2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15" x14ac:dyDescent="0.2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15" x14ac:dyDescent="0.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15" x14ac:dyDescent="0.2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15" x14ac:dyDescent="0.2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15" x14ac:dyDescent="0.2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15" x14ac:dyDescent="0.2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15" x14ac:dyDescent="0.2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15" x14ac:dyDescent="0.2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15" x14ac:dyDescent="0.2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15" x14ac:dyDescent="0.2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15" x14ac:dyDescent="0.2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15" x14ac:dyDescent="0.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15" x14ac:dyDescent="0.2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15" x14ac:dyDescent="0.2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15" x14ac:dyDescent="0.2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15" x14ac:dyDescent="0.2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15" x14ac:dyDescent="0.2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15" x14ac:dyDescent="0.2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15" x14ac:dyDescent="0.2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15" x14ac:dyDescent="0.2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15" x14ac:dyDescent="0.2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15" x14ac:dyDescent="0.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15" x14ac:dyDescent="0.2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15" x14ac:dyDescent="0.2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15" x14ac:dyDescent="0.2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15" x14ac:dyDescent="0.2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15" x14ac:dyDescent="0.2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15" x14ac:dyDescent="0.2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15" x14ac:dyDescent="0.2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15" x14ac:dyDescent="0.2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15" x14ac:dyDescent="0.2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15" x14ac:dyDescent="0.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15" x14ac:dyDescent="0.2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15" x14ac:dyDescent="0.2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15" x14ac:dyDescent="0.2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15" x14ac:dyDescent="0.2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15" x14ac:dyDescent="0.2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15" x14ac:dyDescent="0.2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15" x14ac:dyDescent="0.2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15" x14ac:dyDescent="0.2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15" x14ac:dyDescent="0.2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15" x14ac:dyDescent="0.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15" x14ac:dyDescent="0.2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15" x14ac:dyDescent="0.2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15" x14ac:dyDescent="0.2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15" x14ac:dyDescent="0.2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15" x14ac:dyDescent="0.2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15" x14ac:dyDescent="0.2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15" x14ac:dyDescent="0.2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15" x14ac:dyDescent="0.2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15" x14ac:dyDescent="0.2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15" x14ac:dyDescent="0.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15" x14ac:dyDescent="0.2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15" x14ac:dyDescent="0.2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15" x14ac:dyDescent="0.2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15" x14ac:dyDescent="0.2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15" x14ac:dyDescent="0.2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15" x14ac:dyDescent="0.2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15" x14ac:dyDescent="0.2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15" x14ac:dyDescent="0.2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15" x14ac:dyDescent="0.2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15" x14ac:dyDescent="0.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15" x14ac:dyDescent="0.2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15" x14ac:dyDescent="0.2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15" x14ac:dyDescent="0.2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15" x14ac:dyDescent="0.2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15" x14ac:dyDescent="0.2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15" x14ac:dyDescent="0.2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15" x14ac:dyDescent="0.2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15" x14ac:dyDescent="0.2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15" x14ac:dyDescent="0.2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15" x14ac:dyDescent="0.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15" x14ac:dyDescent="0.2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15" x14ac:dyDescent="0.2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15" x14ac:dyDescent="0.2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15" x14ac:dyDescent="0.2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15" x14ac:dyDescent="0.2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15" x14ac:dyDescent="0.2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15" x14ac:dyDescent="0.2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15" x14ac:dyDescent="0.2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15" x14ac:dyDescent="0.2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15" x14ac:dyDescent="0.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15" x14ac:dyDescent="0.2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15" x14ac:dyDescent="0.2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15" x14ac:dyDescent="0.2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15" x14ac:dyDescent="0.2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15" x14ac:dyDescent="0.2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15" x14ac:dyDescent="0.2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15" x14ac:dyDescent="0.2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15" x14ac:dyDescent="0.2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15" x14ac:dyDescent="0.2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15" x14ac:dyDescent="0.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15" x14ac:dyDescent="0.2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15" x14ac:dyDescent="0.2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15" x14ac:dyDescent="0.2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15" x14ac:dyDescent="0.2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15" x14ac:dyDescent="0.2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15" x14ac:dyDescent="0.2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15" x14ac:dyDescent="0.2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15" x14ac:dyDescent="0.2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15" x14ac:dyDescent="0.2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15" x14ac:dyDescent="0.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15" x14ac:dyDescent="0.2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15" x14ac:dyDescent="0.2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15" x14ac:dyDescent="0.2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15" x14ac:dyDescent="0.2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15" x14ac:dyDescent="0.2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15" x14ac:dyDescent="0.2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15" x14ac:dyDescent="0.2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15" x14ac:dyDescent="0.2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15" x14ac:dyDescent="0.2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15" x14ac:dyDescent="0.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15" x14ac:dyDescent="0.2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15" x14ac:dyDescent="0.2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15" x14ac:dyDescent="0.2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15" x14ac:dyDescent="0.2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15" x14ac:dyDescent="0.2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15" x14ac:dyDescent="0.2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15" x14ac:dyDescent="0.2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15" x14ac:dyDescent="0.2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15" x14ac:dyDescent="0.2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15" x14ac:dyDescent="0.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15" x14ac:dyDescent="0.2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15" x14ac:dyDescent="0.2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15" x14ac:dyDescent="0.2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15" x14ac:dyDescent="0.2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15" x14ac:dyDescent="0.2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15" x14ac:dyDescent="0.2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15" x14ac:dyDescent="0.2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15" x14ac:dyDescent="0.2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15" x14ac:dyDescent="0.2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15" x14ac:dyDescent="0.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15" x14ac:dyDescent="0.2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15" x14ac:dyDescent="0.2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15" x14ac:dyDescent="0.2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15" x14ac:dyDescent="0.2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15" x14ac:dyDescent="0.2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15" x14ac:dyDescent="0.2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15" x14ac:dyDescent="0.2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15" x14ac:dyDescent="0.2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15" x14ac:dyDescent="0.2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15" x14ac:dyDescent="0.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15" x14ac:dyDescent="0.2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15" x14ac:dyDescent="0.2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15" x14ac:dyDescent="0.2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15" x14ac:dyDescent="0.2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15" x14ac:dyDescent="0.2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15" x14ac:dyDescent="0.2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15" x14ac:dyDescent="0.2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15" x14ac:dyDescent="0.2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15" x14ac:dyDescent="0.2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15" x14ac:dyDescent="0.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15" x14ac:dyDescent="0.2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15" x14ac:dyDescent="0.2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15" x14ac:dyDescent="0.2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15" x14ac:dyDescent="0.2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15" x14ac:dyDescent="0.2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15" x14ac:dyDescent="0.2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15" x14ac:dyDescent="0.2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15" x14ac:dyDescent="0.2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15" x14ac:dyDescent="0.2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15" x14ac:dyDescent="0.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15" x14ac:dyDescent="0.2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15" x14ac:dyDescent="0.2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15" x14ac:dyDescent="0.2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15" x14ac:dyDescent="0.2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15" x14ac:dyDescent="0.2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15" x14ac:dyDescent="0.2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15" x14ac:dyDescent="0.2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15" x14ac:dyDescent="0.2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15" x14ac:dyDescent="0.2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15" x14ac:dyDescent="0.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15" x14ac:dyDescent="0.2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15" x14ac:dyDescent="0.2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15" x14ac:dyDescent="0.2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15" x14ac:dyDescent="0.2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15" x14ac:dyDescent="0.2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15" x14ac:dyDescent="0.2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15" x14ac:dyDescent="0.2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15" x14ac:dyDescent="0.2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15" x14ac:dyDescent="0.2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15" x14ac:dyDescent="0.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15" x14ac:dyDescent="0.2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15" x14ac:dyDescent="0.2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15" x14ac:dyDescent="0.2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15" x14ac:dyDescent="0.2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15" x14ac:dyDescent="0.2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15" x14ac:dyDescent="0.2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15" x14ac:dyDescent="0.2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15" x14ac:dyDescent="0.2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15" x14ac:dyDescent="0.2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15" x14ac:dyDescent="0.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15" x14ac:dyDescent="0.2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15" x14ac:dyDescent="0.2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15" x14ac:dyDescent="0.2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15" x14ac:dyDescent="0.2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15" x14ac:dyDescent="0.2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15" x14ac:dyDescent="0.2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15" x14ac:dyDescent="0.2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15" x14ac:dyDescent="0.2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15" x14ac:dyDescent="0.2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15" x14ac:dyDescent="0.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15" x14ac:dyDescent="0.2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15" x14ac:dyDescent="0.2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15" x14ac:dyDescent="0.2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15" x14ac:dyDescent="0.2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15" x14ac:dyDescent="0.2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15" x14ac:dyDescent="0.2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15" x14ac:dyDescent="0.2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15" x14ac:dyDescent="0.2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15" x14ac:dyDescent="0.2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15" x14ac:dyDescent="0.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15" x14ac:dyDescent="0.2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15" x14ac:dyDescent="0.2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15" x14ac:dyDescent="0.2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15" x14ac:dyDescent="0.2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15" x14ac:dyDescent="0.2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15" x14ac:dyDescent="0.2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15" x14ac:dyDescent="0.2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15" x14ac:dyDescent="0.2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15" x14ac:dyDescent="0.2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15" x14ac:dyDescent="0.2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15" x14ac:dyDescent="0.2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15" x14ac:dyDescent="0.2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15" x14ac:dyDescent="0.2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15" x14ac:dyDescent="0.2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15" x14ac:dyDescent="0.2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15" x14ac:dyDescent="0.2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15" x14ac:dyDescent="0.2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15" x14ac:dyDescent="0.2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15" x14ac:dyDescent="0.2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15" x14ac:dyDescent="0.2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15" x14ac:dyDescent="0.2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15" x14ac:dyDescent="0.2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15" x14ac:dyDescent="0.2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15" x14ac:dyDescent="0.2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15" x14ac:dyDescent="0.2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15" x14ac:dyDescent="0.2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15" x14ac:dyDescent="0.2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15" x14ac:dyDescent="0.2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15" x14ac:dyDescent="0.2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15" x14ac:dyDescent="0.2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15" x14ac:dyDescent="0.2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15" x14ac:dyDescent="0.2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15" x14ac:dyDescent="0.2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15" x14ac:dyDescent="0.2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15" x14ac:dyDescent="0.2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15" x14ac:dyDescent="0.2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15" x14ac:dyDescent="0.2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15" x14ac:dyDescent="0.2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15" x14ac:dyDescent="0.2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15" x14ac:dyDescent="0.2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15" x14ac:dyDescent="0.2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15" x14ac:dyDescent="0.2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15" x14ac:dyDescent="0.2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15" x14ac:dyDescent="0.2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15" x14ac:dyDescent="0.2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15" x14ac:dyDescent="0.2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15" x14ac:dyDescent="0.2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15" x14ac:dyDescent="0.2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15" x14ac:dyDescent="0.2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15" x14ac:dyDescent="0.2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15" x14ac:dyDescent="0.2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15" x14ac:dyDescent="0.2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15" x14ac:dyDescent="0.2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15" x14ac:dyDescent="0.2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15" x14ac:dyDescent="0.2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15" x14ac:dyDescent="0.2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15" x14ac:dyDescent="0.2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15" x14ac:dyDescent="0.2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15" x14ac:dyDescent="0.2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15" x14ac:dyDescent="0.2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15" x14ac:dyDescent="0.2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15" x14ac:dyDescent="0.2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15" x14ac:dyDescent="0.2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15" x14ac:dyDescent="0.2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15" x14ac:dyDescent="0.2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15" x14ac:dyDescent="0.2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15" x14ac:dyDescent="0.2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15" x14ac:dyDescent="0.2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15" x14ac:dyDescent="0.2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15" x14ac:dyDescent="0.2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15" x14ac:dyDescent="0.2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15" x14ac:dyDescent="0.2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15" x14ac:dyDescent="0.2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15" x14ac:dyDescent="0.2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15" x14ac:dyDescent="0.2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15" x14ac:dyDescent="0.2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15" x14ac:dyDescent="0.2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15" x14ac:dyDescent="0.2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15" x14ac:dyDescent="0.2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15" x14ac:dyDescent="0.2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15" x14ac:dyDescent="0.2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15" x14ac:dyDescent="0.2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15" x14ac:dyDescent="0.2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15" x14ac:dyDescent="0.2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15" x14ac:dyDescent="0.2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15" x14ac:dyDescent="0.2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15" x14ac:dyDescent="0.2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15" x14ac:dyDescent="0.2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15" x14ac:dyDescent="0.2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15" x14ac:dyDescent="0.2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15" x14ac:dyDescent="0.2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15" x14ac:dyDescent="0.2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15" x14ac:dyDescent="0.2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15" x14ac:dyDescent="0.2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15" x14ac:dyDescent="0.2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15" x14ac:dyDescent="0.2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15" x14ac:dyDescent="0.2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15" x14ac:dyDescent="0.2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15" x14ac:dyDescent="0.2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15" x14ac:dyDescent="0.2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15" x14ac:dyDescent="0.2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15" x14ac:dyDescent="0.2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15" x14ac:dyDescent="0.2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15" x14ac:dyDescent="0.2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15" x14ac:dyDescent="0.2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15" x14ac:dyDescent="0.2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15" x14ac:dyDescent="0.2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15" x14ac:dyDescent="0.2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15" x14ac:dyDescent="0.2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15" x14ac:dyDescent="0.2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15" x14ac:dyDescent="0.2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15" x14ac:dyDescent="0.2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15" x14ac:dyDescent="0.2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15" x14ac:dyDescent="0.2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15" x14ac:dyDescent="0.2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15" x14ac:dyDescent="0.2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15" x14ac:dyDescent="0.2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15" x14ac:dyDescent="0.2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15" x14ac:dyDescent="0.2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15" x14ac:dyDescent="0.2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15" x14ac:dyDescent="0.2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15" x14ac:dyDescent="0.2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15" x14ac:dyDescent="0.2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15" x14ac:dyDescent="0.2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15" x14ac:dyDescent="0.2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15" x14ac:dyDescent="0.2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15" x14ac:dyDescent="0.2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15" x14ac:dyDescent="0.2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15" x14ac:dyDescent="0.2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15" x14ac:dyDescent="0.2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15" x14ac:dyDescent="0.2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15" x14ac:dyDescent="0.2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15" x14ac:dyDescent="0.2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15" x14ac:dyDescent="0.2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15" x14ac:dyDescent="0.2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15" x14ac:dyDescent="0.2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15" x14ac:dyDescent="0.2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15" x14ac:dyDescent="0.2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15" x14ac:dyDescent="0.2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15" x14ac:dyDescent="0.2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15" x14ac:dyDescent="0.2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15" x14ac:dyDescent="0.2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15" x14ac:dyDescent="0.2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15" x14ac:dyDescent="0.2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15" x14ac:dyDescent="0.2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15" x14ac:dyDescent="0.2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15" x14ac:dyDescent="0.2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15" x14ac:dyDescent="0.2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15" x14ac:dyDescent="0.2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15" x14ac:dyDescent="0.2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15" x14ac:dyDescent="0.2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15" x14ac:dyDescent="0.2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15" x14ac:dyDescent="0.2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15" x14ac:dyDescent="0.2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15" x14ac:dyDescent="0.2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15" x14ac:dyDescent="0.2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15" x14ac:dyDescent="0.2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15" x14ac:dyDescent="0.2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15" x14ac:dyDescent="0.2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15" x14ac:dyDescent="0.2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15" x14ac:dyDescent="0.2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15" x14ac:dyDescent="0.2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15" x14ac:dyDescent="0.2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15" x14ac:dyDescent="0.2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15" x14ac:dyDescent="0.2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15" x14ac:dyDescent="0.2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15" x14ac:dyDescent="0.2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15" x14ac:dyDescent="0.2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15" x14ac:dyDescent="0.2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15" x14ac:dyDescent="0.2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15" x14ac:dyDescent="0.2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15" x14ac:dyDescent="0.2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15" x14ac:dyDescent="0.2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15" x14ac:dyDescent="0.2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15" x14ac:dyDescent="0.2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ht="15" x14ac:dyDescent="0.2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ht="15" x14ac:dyDescent="0.2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ht="15" x14ac:dyDescent="0.2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ht="15" x14ac:dyDescent="0.2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ht="15" x14ac:dyDescent="0.2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ht="15" x14ac:dyDescent="0.2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ht="15" x14ac:dyDescent="0.2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ht="15" x14ac:dyDescent="0.2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ht="15" x14ac:dyDescent="0.2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ht="15" x14ac:dyDescent="0.2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ht="15" x14ac:dyDescent="0.2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ht="15" x14ac:dyDescent="0.2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ht="15" x14ac:dyDescent="0.2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ht="15" x14ac:dyDescent="0.2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ht="15" x14ac:dyDescent="0.2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ht="15" x14ac:dyDescent="0.2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ht="15" x14ac:dyDescent="0.2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ht="15" x14ac:dyDescent="0.2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ht="15" x14ac:dyDescent="0.2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ht="15" x14ac:dyDescent="0.2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ht="15" x14ac:dyDescent="0.2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ht="15" x14ac:dyDescent="0.2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ht="15" x14ac:dyDescent="0.2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ht="15" x14ac:dyDescent="0.2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ht="15" x14ac:dyDescent="0.2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ht="15" x14ac:dyDescent="0.2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ht="15" x14ac:dyDescent="0.2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ht="15" x14ac:dyDescent="0.2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ht="15" x14ac:dyDescent="0.2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ht="15" x14ac:dyDescent="0.2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ht="15" x14ac:dyDescent="0.2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ht="15" x14ac:dyDescent="0.2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ht="15" x14ac:dyDescent="0.2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ht="15" x14ac:dyDescent="0.2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ht="15" x14ac:dyDescent="0.2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ht="15" x14ac:dyDescent="0.2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ht="15" x14ac:dyDescent="0.2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ht="15" x14ac:dyDescent="0.2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ht="15" x14ac:dyDescent="0.2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ht="15" x14ac:dyDescent="0.2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ht="15" x14ac:dyDescent="0.2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ht="15" x14ac:dyDescent="0.2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ht="15" x14ac:dyDescent="0.2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ht="15" x14ac:dyDescent="0.2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ht="15" x14ac:dyDescent="0.2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ht="15" x14ac:dyDescent="0.2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ht="15" x14ac:dyDescent="0.2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ht="15" x14ac:dyDescent="0.2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ht="15" x14ac:dyDescent="0.2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ht="15" x14ac:dyDescent="0.2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ht="15" x14ac:dyDescent="0.2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ht="15" x14ac:dyDescent="0.2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ht="15" x14ac:dyDescent="0.2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spans="1:26" ht="15" x14ac:dyDescent="0.2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spans="1:26" ht="15" x14ac:dyDescent="0.2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spans="1:26" ht="15" x14ac:dyDescent="0.2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spans="1:26" ht="15" x14ac:dyDescent="0.2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spans="1:26" ht="15" x14ac:dyDescent="0.2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spans="1:26" ht="15" x14ac:dyDescent="0.2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spans="1:26" ht="15" x14ac:dyDescent="0.2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spans="1:26" ht="15" x14ac:dyDescent="0.2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spans="1:26" ht="15" x14ac:dyDescent="0.2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spans="1:26" ht="15" x14ac:dyDescent="0.2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spans="1:26" ht="15" x14ac:dyDescent="0.2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spans="1:26" ht="15" x14ac:dyDescent="0.2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spans="1:26" ht="15" x14ac:dyDescent="0.2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spans="1:26" ht="15" x14ac:dyDescent="0.2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spans="1:26" ht="15" x14ac:dyDescent="0.2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spans="1:26" ht="15" x14ac:dyDescent="0.2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spans="1:26" ht="15" x14ac:dyDescent="0.2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spans="1:26" ht="15" x14ac:dyDescent="0.2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spans="1:26" ht="15" x14ac:dyDescent="0.2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spans="1:26" ht="15" x14ac:dyDescent="0.2">
      <c r="A1000" s="4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  <row r="1001" spans="1:26" ht="15" x14ac:dyDescent="0.2">
      <c r="A1001" s="42"/>
      <c r="B1001" s="42"/>
      <c r="C1001" s="42"/>
      <c r="D1001" s="42"/>
      <c r="E1001" s="42"/>
      <c r="F1001" s="42"/>
      <c r="G1001" s="42"/>
      <c r="H1001" s="42"/>
      <c r="I1001" s="42"/>
      <c r="J1001" s="42"/>
      <c r="K1001" s="42"/>
      <c r="L1001" s="42"/>
      <c r="M1001" s="42"/>
      <c r="N1001" s="42"/>
      <c r="O1001" s="42"/>
      <c r="P1001" s="42"/>
      <c r="Q1001" s="42"/>
      <c r="R1001" s="42"/>
      <c r="S1001" s="42"/>
      <c r="T1001" s="42"/>
      <c r="U1001" s="42"/>
      <c r="V1001" s="42"/>
      <c r="W1001" s="42"/>
      <c r="X1001" s="42"/>
      <c r="Y1001" s="42"/>
      <c r="Z1001" s="42"/>
    </row>
    <row r="1002" spans="1:26" ht="15" x14ac:dyDescent="0.2">
      <c r="A1002" s="42"/>
      <c r="B1002" s="42"/>
      <c r="C1002" s="42"/>
      <c r="D1002" s="42"/>
      <c r="E1002" s="42"/>
      <c r="F1002" s="42"/>
      <c r="G1002" s="42"/>
      <c r="H1002" s="42"/>
      <c r="I1002" s="42"/>
      <c r="J1002" s="42"/>
      <c r="K1002" s="42"/>
      <c r="L1002" s="42"/>
      <c r="M1002" s="42"/>
      <c r="N1002" s="42"/>
      <c r="O1002" s="42"/>
      <c r="P1002" s="42"/>
      <c r="Q1002" s="42"/>
      <c r="R1002" s="42"/>
      <c r="S1002" s="42"/>
      <c r="T1002" s="42"/>
      <c r="U1002" s="42"/>
      <c r="V1002" s="42"/>
      <c r="W1002" s="42"/>
      <c r="X1002" s="42"/>
      <c r="Y1002" s="42"/>
      <c r="Z1002" s="42"/>
    </row>
    <row r="1003" spans="1:26" ht="15" x14ac:dyDescent="0.2">
      <c r="A1003" s="42"/>
      <c r="B1003" s="42"/>
      <c r="C1003" s="42"/>
      <c r="D1003" s="42"/>
      <c r="E1003" s="42"/>
      <c r="F1003" s="42"/>
      <c r="G1003" s="4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2"/>
      <c r="U1003" s="42"/>
      <c r="V1003" s="42"/>
      <c r="W1003" s="42"/>
      <c r="X1003" s="42"/>
      <c r="Y1003" s="42"/>
      <c r="Z1003" s="42"/>
    </row>
    <row r="1004" spans="1:26" ht="15" x14ac:dyDescent="0.2">
      <c r="A1004" s="42"/>
      <c r="B1004" s="42"/>
      <c r="C1004" s="42"/>
      <c r="D1004" s="42"/>
      <c r="E1004" s="42"/>
      <c r="F1004" s="42"/>
      <c r="G1004" s="42"/>
      <c r="H1004" s="42"/>
      <c r="I1004" s="42"/>
      <c r="J1004" s="42"/>
      <c r="K1004" s="42"/>
      <c r="L1004" s="42"/>
      <c r="M1004" s="42"/>
      <c r="N1004" s="42"/>
      <c r="O1004" s="42"/>
      <c r="P1004" s="42"/>
      <c r="Q1004" s="42"/>
      <c r="R1004" s="42"/>
      <c r="S1004" s="42"/>
      <c r="T1004" s="42"/>
      <c r="U1004" s="42"/>
      <c r="V1004" s="42"/>
      <c r="W1004" s="42"/>
      <c r="X1004" s="42"/>
      <c r="Y1004" s="42"/>
      <c r="Z1004" s="42"/>
    </row>
    <row r="1005" spans="1:26" ht="15" x14ac:dyDescent="0.2">
      <c r="A1005" s="42"/>
      <c r="B1005" s="42"/>
      <c r="C1005" s="42"/>
      <c r="D1005" s="42"/>
      <c r="E1005" s="42"/>
      <c r="F1005" s="42"/>
      <c r="G1005" s="42"/>
      <c r="H1005" s="42"/>
      <c r="I1005" s="42"/>
      <c r="J1005" s="42"/>
      <c r="K1005" s="42"/>
      <c r="L1005" s="42"/>
      <c r="M1005" s="42"/>
      <c r="N1005" s="42"/>
      <c r="O1005" s="42"/>
      <c r="P1005" s="42"/>
      <c r="Q1005" s="42"/>
      <c r="R1005" s="42"/>
      <c r="S1005" s="42"/>
      <c r="T1005" s="42"/>
      <c r="U1005" s="42"/>
      <c r="V1005" s="42"/>
      <c r="W1005" s="42"/>
      <c r="X1005" s="42"/>
      <c r="Y1005" s="42"/>
      <c r="Z1005" s="42"/>
    </row>
    <row r="1006" spans="1:26" ht="15" x14ac:dyDescent="0.2">
      <c r="A1006" s="42"/>
      <c r="B1006" s="42"/>
      <c r="C1006" s="42"/>
      <c r="D1006" s="42"/>
      <c r="E1006" s="42"/>
      <c r="F1006" s="42"/>
      <c r="G1006" s="42"/>
      <c r="H1006" s="42"/>
      <c r="I1006" s="42"/>
      <c r="J1006" s="42"/>
      <c r="K1006" s="42"/>
      <c r="L1006" s="42"/>
      <c r="M1006" s="42"/>
      <c r="N1006" s="42"/>
      <c r="O1006" s="42"/>
      <c r="P1006" s="42"/>
      <c r="Q1006" s="42"/>
      <c r="R1006" s="42"/>
      <c r="S1006" s="42"/>
      <c r="T1006" s="42"/>
      <c r="U1006" s="42"/>
      <c r="V1006" s="42"/>
      <c r="W1006" s="42"/>
      <c r="X1006" s="42"/>
      <c r="Y1006" s="42"/>
      <c r="Z1006" s="42"/>
    </row>
    <row r="1007" spans="1:26" ht="15" x14ac:dyDescent="0.2">
      <c r="A1007" s="42"/>
      <c r="B1007" s="42"/>
      <c r="C1007" s="42"/>
      <c r="D1007" s="42"/>
      <c r="E1007" s="42"/>
      <c r="F1007" s="42"/>
      <c r="G1007" s="42"/>
      <c r="H1007" s="42"/>
      <c r="I1007" s="42"/>
      <c r="J1007" s="42"/>
      <c r="K1007" s="42"/>
      <c r="L1007" s="42"/>
      <c r="M1007" s="42"/>
      <c r="N1007" s="42"/>
      <c r="O1007" s="42"/>
      <c r="P1007" s="42"/>
      <c r="Q1007" s="42"/>
      <c r="R1007" s="42"/>
      <c r="S1007" s="42"/>
      <c r="T1007" s="42"/>
      <c r="U1007" s="42"/>
      <c r="V1007" s="42"/>
      <c r="W1007" s="42"/>
      <c r="X1007" s="42"/>
      <c r="Y1007" s="42"/>
      <c r="Z1007" s="42"/>
    </row>
  </sheetData>
  <mergeCells count="33">
    <mergeCell ref="A128:H128"/>
    <mergeCell ref="A130:A147"/>
    <mergeCell ref="A112:H112"/>
    <mergeCell ref="A114:A116"/>
    <mergeCell ref="A119:H119"/>
    <mergeCell ref="A120:H120"/>
    <mergeCell ref="A122:A124"/>
    <mergeCell ref="A127:H127"/>
    <mergeCell ref="I96:I97"/>
    <mergeCell ref="A100:H100"/>
    <mergeCell ref="A101:H101"/>
    <mergeCell ref="A103:A108"/>
    <mergeCell ref="I103:I105"/>
    <mergeCell ref="A111:H111"/>
    <mergeCell ref="A71:H71"/>
    <mergeCell ref="A72:H72"/>
    <mergeCell ref="A74:A77"/>
    <mergeCell ref="A80:H80"/>
    <mergeCell ref="A81:H81"/>
    <mergeCell ref="A83:A97"/>
    <mergeCell ref="F96:F97"/>
    <mergeCell ref="A49:A68"/>
    <mergeCell ref="A1:H1"/>
    <mergeCell ref="A2:H2"/>
    <mergeCell ref="A3:H3"/>
    <mergeCell ref="A5:A21"/>
    <mergeCell ref="F16:F17"/>
    <mergeCell ref="A24:H24"/>
    <mergeCell ref="A25:H25"/>
    <mergeCell ref="A27:A43"/>
    <mergeCell ref="F38:F39"/>
    <mergeCell ref="A46:H46"/>
    <mergeCell ref="A47:H47"/>
  </mergeCells>
  <dataValidations count="1">
    <dataValidation type="list" allowBlank="1" showErrorMessage="1" sqref="G5:G21 G27:G43 G49:G68 G74:G77 G83:G97 G103:G108 G114:G116 G122:G124 G130:G147" xr:uid="{00000000-0002-0000-0100-000000000000}">
      <formula1>"-,Passed,Failed,Blocked,Skipped"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2E234-41B7-1344-9DB9-FBED82D742C4}">
  <sheetPr>
    <outlinePr summaryBelow="0" summaryRight="0"/>
  </sheetPr>
  <dimension ref="A1:Z999"/>
  <sheetViews>
    <sheetView workbookViewId="0">
      <pane ySplit="1" topLeftCell="A6" activePane="bottomLeft" state="frozen"/>
      <selection pane="bottomLeft" activeCell="K4" sqref="K4"/>
    </sheetView>
  </sheetViews>
  <sheetFormatPr baseColWidth="10" defaultColWidth="15.19921875" defaultRowHeight="15.75" customHeight="1" x14ac:dyDescent="0.2"/>
  <cols>
    <col min="1" max="1" width="9.796875" style="168" customWidth="1"/>
    <col min="2" max="2" width="39.796875" style="168" customWidth="1"/>
    <col min="3" max="3" width="29.19921875" style="168" customWidth="1"/>
    <col min="4" max="4" width="25.3984375" style="168" customWidth="1"/>
    <col min="5" max="5" width="34.3984375" style="168" customWidth="1"/>
    <col min="6" max="6" width="50.59765625" style="168" customWidth="1"/>
    <col min="7" max="8" width="42.796875" style="168" customWidth="1"/>
    <col min="9" max="9" width="50.59765625" style="168" customWidth="1"/>
    <col min="10" max="16384" width="15.19921875" style="168"/>
  </cols>
  <sheetData>
    <row r="1" spans="1:26" ht="15" x14ac:dyDescent="0.2">
      <c r="A1" s="172" t="s">
        <v>346</v>
      </c>
      <c r="B1" s="172" t="s">
        <v>347</v>
      </c>
      <c r="C1" s="172" t="s">
        <v>348</v>
      </c>
      <c r="D1" s="172" t="s">
        <v>129</v>
      </c>
      <c r="E1" s="172" t="s">
        <v>349</v>
      </c>
      <c r="F1" s="172" t="s">
        <v>350</v>
      </c>
      <c r="G1" s="172" t="s">
        <v>351</v>
      </c>
      <c r="H1" s="172" t="s">
        <v>352</v>
      </c>
      <c r="I1" s="172" t="s">
        <v>353</v>
      </c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spans="1:26" ht="75" x14ac:dyDescent="0.2">
      <c r="A2" s="169" t="s">
        <v>493</v>
      </c>
      <c r="B2" s="169" t="s">
        <v>494</v>
      </c>
      <c r="C2" s="171" t="s">
        <v>382</v>
      </c>
      <c r="D2" s="171" t="s">
        <v>356</v>
      </c>
      <c r="E2" s="169" t="s">
        <v>357</v>
      </c>
      <c r="F2" s="170" t="s">
        <v>495</v>
      </c>
      <c r="G2" s="169" t="s">
        <v>496</v>
      </c>
      <c r="H2" s="169" t="s">
        <v>497</v>
      </c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spans="1:26" ht="123.75" customHeight="1" x14ac:dyDescent="0.2">
      <c r="A3" s="169" t="s">
        <v>498</v>
      </c>
      <c r="B3" s="169" t="s">
        <v>499</v>
      </c>
      <c r="C3" s="171" t="s">
        <v>355</v>
      </c>
      <c r="D3" s="171" t="s">
        <v>356</v>
      </c>
      <c r="E3" s="169" t="s">
        <v>357</v>
      </c>
      <c r="F3" s="169" t="s">
        <v>500</v>
      </c>
      <c r="G3" s="169" t="s">
        <v>501</v>
      </c>
      <c r="H3" s="169" t="s">
        <v>502</v>
      </c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spans="1:26" ht="48" x14ac:dyDescent="0.2">
      <c r="A4" s="169" t="s">
        <v>503</v>
      </c>
      <c r="B4" s="169" t="s">
        <v>504</v>
      </c>
      <c r="C4" s="171" t="s">
        <v>355</v>
      </c>
      <c r="D4" s="171" t="s">
        <v>356</v>
      </c>
      <c r="E4" s="169" t="s">
        <v>357</v>
      </c>
      <c r="F4" s="169" t="s">
        <v>505</v>
      </c>
      <c r="G4" s="169" t="s">
        <v>506</v>
      </c>
      <c r="H4" s="169" t="s">
        <v>507</v>
      </c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 ht="195" x14ac:dyDescent="0.2">
      <c r="A5" s="169" t="s">
        <v>508</v>
      </c>
      <c r="B5" s="169" t="s">
        <v>509</v>
      </c>
      <c r="C5" s="171" t="s">
        <v>365</v>
      </c>
      <c r="D5" s="171" t="s">
        <v>356</v>
      </c>
      <c r="E5" s="169" t="s">
        <v>357</v>
      </c>
      <c r="F5" s="170" t="s">
        <v>510</v>
      </c>
      <c r="G5" s="169" t="s">
        <v>511</v>
      </c>
      <c r="H5" s="169" t="s">
        <v>512</v>
      </c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 spans="1:26" ht="225" x14ac:dyDescent="0.2">
      <c r="A6" s="169" t="s">
        <v>513</v>
      </c>
      <c r="B6" s="169" t="s">
        <v>514</v>
      </c>
      <c r="C6" s="171" t="s">
        <v>515</v>
      </c>
      <c r="D6" s="171" t="s">
        <v>356</v>
      </c>
      <c r="E6" s="169" t="s">
        <v>357</v>
      </c>
      <c r="F6" s="170" t="s">
        <v>516</v>
      </c>
      <c r="G6" s="169" t="s">
        <v>511</v>
      </c>
      <c r="H6" s="169" t="s">
        <v>517</v>
      </c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 ht="225" x14ac:dyDescent="0.2">
      <c r="A7" s="169" t="s">
        <v>518</v>
      </c>
      <c r="B7" s="169" t="s">
        <v>519</v>
      </c>
      <c r="C7" s="171" t="s">
        <v>515</v>
      </c>
      <c r="D7" s="171" t="s">
        <v>356</v>
      </c>
      <c r="E7" s="169" t="s">
        <v>357</v>
      </c>
      <c r="F7" s="170" t="s">
        <v>516</v>
      </c>
      <c r="G7" s="169" t="s">
        <v>511</v>
      </c>
      <c r="H7" s="169" t="s">
        <v>517</v>
      </c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spans="1:26" ht="15" x14ac:dyDescent="0.2">
      <c r="A8" s="169"/>
      <c r="B8" s="169"/>
      <c r="C8" s="169"/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 ht="15" x14ac:dyDescent="0.2">
      <c r="A9" s="169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spans="1:26" ht="15" x14ac:dyDescent="0.2">
      <c r="A10" s="169"/>
      <c r="B10" s="169"/>
      <c r="C10" s="169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 ht="15" x14ac:dyDescent="0.2">
      <c r="A11" s="169"/>
      <c r="B11" s="169"/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spans="1:26" ht="15" x14ac:dyDescent="0.2">
      <c r="A12" s="169"/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 ht="15" x14ac:dyDescent="0.2">
      <c r="A13" s="169"/>
      <c r="B13" s="169"/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spans="1:26" ht="15" x14ac:dyDescent="0.2">
      <c r="A14" s="169"/>
      <c r="B14" s="169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 ht="15" x14ac:dyDescent="0.2">
      <c r="A15" s="169"/>
      <c r="B15" s="169"/>
      <c r="C15" s="169"/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spans="1:26" ht="15" x14ac:dyDescent="0.2">
      <c r="A16" s="169"/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ht="15" x14ac:dyDescent="0.2">
      <c r="A17" s="169"/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ht="15" x14ac:dyDescent="0.2">
      <c r="A18" s="169"/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ht="15" x14ac:dyDescent="0.2">
      <c r="A19" s="169"/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ht="15" x14ac:dyDescent="0.2">
      <c r="A20" s="169"/>
      <c r="B20" s="169"/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ht="15" x14ac:dyDescent="0.2">
      <c r="A21" s="169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ht="15" x14ac:dyDescent="0.2">
      <c r="A22" s="169"/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ht="15" x14ac:dyDescent="0.2">
      <c r="A23" s="169"/>
      <c r="B23" s="169"/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ht="15" x14ac:dyDescent="0.2">
      <c r="A24" s="169"/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 ht="15" x14ac:dyDescent="0.2">
      <c r="A25" s="169"/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 ht="15" x14ac:dyDescent="0.2">
      <c r="A26" s="169"/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spans="1:26" ht="15" x14ac:dyDescent="0.2">
      <c r="A27" s="16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spans="1:26" ht="15" x14ac:dyDescent="0.2">
      <c r="A28" s="169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spans="1:26" ht="15" x14ac:dyDescent="0.2">
      <c r="A29" s="169"/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spans="1:26" ht="15" x14ac:dyDescent="0.2">
      <c r="A30" s="169"/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spans="1:26" ht="15" x14ac:dyDescent="0.2">
      <c r="A31" s="169"/>
      <c r="B31" s="169"/>
      <c r="C31" s="169"/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spans="1:26" ht="15" x14ac:dyDescent="0.2">
      <c r="A32" s="169"/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 spans="1:26" ht="15" x14ac:dyDescent="0.2">
      <c r="A33" s="169"/>
      <c r="B33" s="169"/>
      <c r="C33" s="169"/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 spans="1:26" ht="15" x14ac:dyDescent="0.2">
      <c r="A34" s="169"/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 spans="1:26" ht="15" x14ac:dyDescent="0.2">
      <c r="A35" s="169"/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 spans="1:26" ht="15" x14ac:dyDescent="0.2">
      <c r="A36" s="169"/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 spans="1:26" ht="15" x14ac:dyDescent="0.2">
      <c r="A37" s="169"/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 spans="1:26" ht="15" x14ac:dyDescent="0.2">
      <c r="A38" s="169"/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 spans="1:26" ht="15" x14ac:dyDescent="0.2">
      <c r="A39" s="169"/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 spans="1:26" ht="15" x14ac:dyDescent="0.2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 spans="1:26" ht="15" x14ac:dyDescent="0.2">
      <c r="A41" s="169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 spans="1:26" ht="15" x14ac:dyDescent="0.2">
      <c r="A42" s="169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 spans="1:26" ht="15" x14ac:dyDescent="0.2">
      <c r="A43" s="169"/>
      <c r="B43" s="169"/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 spans="1:26" ht="15" x14ac:dyDescent="0.2">
      <c r="A44" s="169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 spans="1:26" ht="15" x14ac:dyDescent="0.2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 spans="1:26" ht="15" x14ac:dyDescent="0.2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 spans="1:26" ht="15" x14ac:dyDescent="0.2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 spans="1:26" ht="15" x14ac:dyDescent="0.2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 spans="1:26" ht="15" x14ac:dyDescent="0.2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 spans="1:26" ht="15" x14ac:dyDescent="0.2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 spans="1:26" ht="15" x14ac:dyDescent="0.2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 spans="1:26" ht="15" x14ac:dyDescent="0.2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 spans="1:26" ht="15" x14ac:dyDescent="0.2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 spans="1:26" ht="15" x14ac:dyDescent="0.2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 spans="1:26" ht="15" x14ac:dyDescent="0.2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 spans="1:26" ht="15" x14ac:dyDescent="0.2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spans="1:26" ht="15" x14ac:dyDescent="0.2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 spans="1:26" ht="15" x14ac:dyDescent="0.2">
      <c r="A58" s="169"/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 spans="1:26" ht="15" x14ac:dyDescent="0.2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 spans="1:26" ht="15" x14ac:dyDescent="0.2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 spans="1:26" ht="15" x14ac:dyDescent="0.2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 spans="1:26" ht="15" x14ac:dyDescent="0.2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 spans="1:26" ht="15" x14ac:dyDescent="0.2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 spans="1:26" ht="15" x14ac:dyDescent="0.2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 spans="1:26" ht="15" x14ac:dyDescent="0.2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spans="1:26" ht="15" x14ac:dyDescent="0.2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 spans="1:26" ht="15" x14ac:dyDescent="0.2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 spans="1:26" ht="15" x14ac:dyDescent="0.2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 spans="1:26" ht="15" x14ac:dyDescent="0.2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 spans="1:26" ht="15" x14ac:dyDescent="0.2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spans="1:26" ht="15" x14ac:dyDescent="0.2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spans="1:26" ht="15" x14ac:dyDescent="0.2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spans="1:26" ht="15" x14ac:dyDescent="0.2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 spans="1:26" ht="15" x14ac:dyDescent="0.2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 spans="1:26" ht="15" x14ac:dyDescent="0.2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 spans="1:26" ht="15" x14ac:dyDescent="0.2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 spans="1:26" ht="15" x14ac:dyDescent="0.2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 spans="1:26" ht="15" x14ac:dyDescent="0.2">
      <c r="A78" s="169"/>
      <c r="B78" s="169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 spans="1:26" ht="15" x14ac:dyDescent="0.2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 spans="1:26" ht="15" x14ac:dyDescent="0.2">
      <c r="A80" s="169"/>
      <c r="B80" s="169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 spans="1:26" ht="15" x14ac:dyDescent="0.2">
      <c r="A81" s="169"/>
      <c r="B81" s="169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 spans="1:26" ht="15" x14ac:dyDescent="0.2">
      <c r="A82" s="169"/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 spans="1:26" ht="15" x14ac:dyDescent="0.2">
      <c r="A83" s="169"/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 spans="1:26" ht="15" x14ac:dyDescent="0.2">
      <c r="A84" s="169"/>
      <c r="B84" s="169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 spans="1:26" ht="15" x14ac:dyDescent="0.2">
      <c r="A85" s="169"/>
      <c r="B85" s="169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 spans="1:26" ht="15" x14ac:dyDescent="0.2">
      <c r="A86" s="169"/>
      <c r="B86" s="169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 spans="1:26" ht="15" x14ac:dyDescent="0.2">
      <c r="A87" s="169"/>
      <c r="B87" s="169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 spans="1:26" ht="15" x14ac:dyDescent="0.2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 spans="1:26" ht="15" x14ac:dyDescent="0.2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 spans="1:26" ht="15" x14ac:dyDescent="0.2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 spans="1:26" ht="15" x14ac:dyDescent="0.2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 spans="1:26" ht="15" x14ac:dyDescent="0.2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 spans="1:26" ht="15" x14ac:dyDescent="0.2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 spans="1:26" ht="15" x14ac:dyDescent="0.2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 spans="1:26" ht="15" x14ac:dyDescent="0.2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 spans="1:26" ht="15" x14ac:dyDescent="0.2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 spans="1:26" ht="15" x14ac:dyDescent="0.2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 spans="1:26" ht="15" x14ac:dyDescent="0.2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 spans="1:26" ht="15" x14ac:dyDescent="0.2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 spans="1:26" ht="15" x14ac:dyDescent="0.2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 spans="1:26" ht="15" x14ac:dyDescent="0.2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 spans="1:26" ht="15" x14ac:dyDescent="0.2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 spans="1:26" ht="15" x14ac:dyDescent="0.2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 spans="1:26" ht="15" x14ac:dyDescent="0.2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 spans="1:26" ht="15" x14ac:dyDescent="0.2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 spans="1:26" ht="15" x14ac:dyDescent="0.2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 spans="1:26" ht="15" x14ac:dyDescent="0.2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 spans="1:26" ht="15" x14ac:dyDescent="0.2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 spans="1:26" ht="15" x14ac:dyDescent="0.2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 spans="1:26" ht="15" x14ac:dyDescent="0.2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 spans="1:26" ht="15" x14ac:dyDescent="0.2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 spans="1:26" ht="15" x14ac:dyDescent="0.2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 spans="1:26" ht="15" x14ac:dyDescent="0.2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 spans="1:26" ht="15" x14ac:dyDescent="0.2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 spans="1:26" ht="15" x14ac:dyDescent="0.2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 spans="1:26" ht="15" x14ac:dyDescent="0.2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 spans="1:26" ht="15" x14ac:dyDescent="0.2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 spans="1:26" ht="15" x14ac:dyDescent="0.2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 spans="1:26" ht="15" x14ac:dyDescent="0.2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 spans="1:26" ht="15" x14ac:dyDescent="0.2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 spans="1:26" ht="15" x14ac:dyDescent="0.2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 spans="1:26" ht="15" x14ac:dyDescent="0.2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 spans="1:26" ht="15" x14ac:dyDescent="0.2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 spans="1:26" ht="15" x14ac:dyDescent="0.2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 spans="1:26" ht="15" x14ac:dyDescent="0.2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 spans="1:26" ht="15" x14ac:dyDescent="0.2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 spans="1:26" ht="15" x14ac:dyDescent="0.2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 spans="1:26" ht="15" x14ac:dyDescent="0.2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 spans="1:26" ht="15" x14ac:dyDescent="0.2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 spans="1:26" ht="15" x14ac:dyDescent="0.2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 spans="1:26" ht="15" x14ac:dyDescent="0.2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 spans="1:26" ht="15" x14ac:dyDescent="0.2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 spans="1:26" ht="15" x14ac:dyDescent="0.2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 spans="1:26" ht="15" x14ac:dyDescent="0.2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 spans="1:26" ht="15" x14ac:dyDescent="0.2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 spans="1:26" ht="15" x14ac:dyDescent="0.2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 spans="1:26" ht="15" x14ac:dyDescent="0.2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 spans="1:26" ht="15" x14ac:dyDescent="0.2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 spans="1:26" ht="15" x14ac:dyDescent="0.2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 spans="1:26" ht="15" x14ac:dyDescent="0.2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 spans="1:26" ht="15" x14ac:dyDescent="0.2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 spans="1:26" ht="15" x14ac:dyDescent="0.2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 spans="1:26" ht="15" x14ac:dyDescent="0.2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 spans="1:26" ht="15" x14ac:dyDescent="0.2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 spans="1:26" ht="15" x14ac:dyDescent="0.2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 spans="1:26" ht="15" x14ac:dyDescent="0.2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 spans="1:26" ht="15" x14ac:dyDescent="0.2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 spans="1:26" ht="15" x14ac:dyDescent="0.2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 spans="1:26" ht="15" x14ac:dyDescent="0.2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 spans="1:26" ht="15" x14ac:dyDescent="0.2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 spans="1:26" ht="15" x14ac:dyDescent="0.2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 spans="1:26" ht="15" x14ac:dyDescent="0.2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 spans="1:26" ht="15" x14ac:dyDescent="0.2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 spans="1:26" ht="15" x14ac:dyDescent="0.2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 spans="1:26" ht="15" x14ac:dyDescent="0.2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 spans="1:26" ht="15" x14ac:dyDescent="0.2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 spans="1:26" ht="15" x14ac:dyDescent="0.2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 spans="1:26" ht="15" x14ac:dyDescent="0.2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 spans="1:26" ht="15" x14ac:dyDescent="0.2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 spans="1:26" ht="15" x14ac:dyDescent="0.2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 spans="1:26" ht="15" x14ac:dyDescent="0.2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 spans="1:26" ht="15" x14ac:dyDescent="0.2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 spans="1:26" ht="15" x14ac:dyDescent="0.2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 spans="1:26" ht="15" x14ac:dyDescent="0.2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 spans="1:26" ht="15" x14ac:dyDescent="0.2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 spans="1:26" ht="15" x14ac:dyDescent="0.2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 spans="1:26" ht="15" x14ac:dyDescent="0.2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 spans="1:26" ht="15" x14ac:dyDescent="0.2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 spans="1:26" ht="15" x14ac:dyDescent="0.2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 spans="1:26" ht="15" x14ac:dyDescent="0.2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 spans="1:26" ht="15" x14ac:dyDescent="0.2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 spans="1:26" ht="15" x14ac:dyDescent="0.2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 spans="1:26" ht="15" x14ac:dyDescent="0.2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 spans="1:26" ht="15" x14ac:dyDescent="0.2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 spans="1:26" ht="15" x14ac:dyDescent="0.2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 spans="1:26" ht="15" x14ac:dyDescent="0.2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 spans="1:26" ht="15" x14ac:dyDescent="0.2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 spans="1:26" ht="15" x14ac:dyDescent="0.2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 spans="1:26" ht="15" x14ac:dyDescent="0.2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 spans="1:26" ht="15" x14ac:dyDescent="0.2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 spans="1:26" ht="15" x14ac:dyDescent="0.2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 spans="1:26" ht="15" x14ac:dyDescent="0.2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 spans="1:26" ht="15" x14ac:dyDescent="0.2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 spans="1:26" ht="15" x14ac:dyDescent="0.2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 spans="1:26" ht="15" x14ac:dyDescent="0.2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 spans="1:26" ht="15" x14ac:dyDescent="0.2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 spans="1:26" ht="15" x14ac:dyDescent="0.2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 spans="1:26" ht="15" x14ac:dyDescent="0.2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 spans="1:26" ht="15" x14ac:dyDescent="0.2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 spans="1:26" ht="15" x14ac:dyDescent="0.2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 spans="1:26" ht="15" x14ac:dyDescent="0.2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 spans="1:26" ht="15" x14ac:dyDescent="0.2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 spans="1:26" ht="15" x14ac:dyDescent="0.2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 spans="1:26" ht="15" x14ac:dyDescent="0.2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 spans="1:26" ht="15" x14ac:dyDescent="0.2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 spans="1:26" ht="15" x14ac:dyDescent="0.2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 spans="1:26" ht="15" x14ac:dyDescent="0.2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 spans="1:26" ht="15" x14ac:dyDescent="0.2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 spans="1:26" ht="15" x14ac:dyDescent="0.2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 spans="1:26" ht="15" x14ac:dyDescent="0.2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 spans="1:26" ht="15" x14ac:dyDescent="0.2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 spans="1:26" ht="15" x14ac:dyDescent="0.2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 spans="1:26" ht="15" x14ac:dyDescent="0.2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 spans="1:26" ht="15" x14ac:dyDescent="0.2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 spans="1:26" ht="15" x14ac:dyDescent="0.2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 spans="1:26" ht="15" x14ac:dyDescent="0.2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 spans="1:26" ht="15" x14ac:dyDescent="0.2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 spans="1:26" ht="15" x14ac:dyDescent="0.2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 spans="1:26" ht="15" x14ac:dyDescent="0.2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 spans="1:26" ht="15" x14ac:dyDescent="0.2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 spans="1:26" ht="15" x14ac:dyDescent="0.2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 spans="1:26" ht="15" x14ac:dyDescent="0.2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 spans="1:26" ht="15" x14ac:dyDescent="0.2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 spans="1:26" ht="15" x14ac:dyDescent="0.2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 spans="1:26" ht="15" x14ac:dyDescent="0.2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 spans="1:26" ht="15" x14ac:dyDescent="0.2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 spans="1:26" ht="15" x14ac:dyDescent="0.2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 spans="1:26" ht="15" x14ac:dyDescent="0.2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 spans="1:26" ht="15" x14ac:dyDescent="0.2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 spans="1:26" ht="15" x14ac:dyDescent="0.2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 spans="1:26" ht="15" x14ac:dyDescent="0.2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 spans="1:26" ht="15" x14ac:dyDescent="0.2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 spans="1:26" ht="15" x14ac:dyDescent="0.2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 spans="1:26" ht="15" x14ac:dyDescent="0.2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 spans="1:26" ht="15" x14ac:dyDescent="0.2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 spans="1:26" ht="15" x14ac:dyDescent="0.2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 spans="1:26" ht="15" x14ac:dyDescent="0.2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 spans="1:26" ht="15" x14ac:dyDescent="0.2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 spans="1:26" ht="15" x14ac:dyDescent="0.2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 spans="1:26" ht="15" x14ac:dyDescent="0.2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 spans="1:26" ht="15" x14ac:dyDescent="0.2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 spans="1:26" ht="15" x14ac:dyDescent="0.2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 spans="1:26" ht="15" x14ac:dyDescent="0.2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 spans="1:26" ht="15" x14ac:dyDescent="0.2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 spans="1:26" ht="15" x14ac:dyDescent="0.2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 spans="1:26" ht="15" x14ac:dyDescent="0.2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 spans="1:26" ht="15" x14ac:dyDescent="0.2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 spans="1:26" ht="15" x14ac:dyDescent="0.2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 spans="1:26" ht="15" x14ac:dyDescent="0.2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 spans="1:26" ht="15" x14ac:dyDescent="0.2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 spans="1:26" ht="15" x14ac:dyDescent="0.2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 spans="1:26" ht="15" x14ac:dyDescent="0.2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 spans="1:26" ht="15" x14ac:dyDescent="0.2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 spans="1:26" ht="15" x14ac:dyDescent="0.2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 spans="1:26" ht="15" x14ac:dyDescent="0.2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 spans="1:26" ht="15" x14ac:dyDescent="0.2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 spans="1:26" ht="15" x14ac:dyDescent="0.2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 spans="1:26" ht="15" x14ac:dyDescent="0.2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 spans="1:26" ht="15" x14ac:dyDescent="0.2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 spans="1:26" ht="15" x14ac:dyDescent="0.2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 spans="1:26" ht="15" x14ac:dyDescent="0.2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 spans="1:26" ht="15" x14ac:dyDescent="0.2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 spans="1:26" ht="15" x14ac:dyDescent="0.2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 spans="1:26" ht="15" x14ac:dyDescent="0.2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 spans="1:26" ht="15" x14ac:dyDescent="0.2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 spans="1:26" ht="15" x14ac:dyDescent="0.2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 spans="1:26" ht="15" x14ac:dyDescent="0.2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 spans="1:26" ht="15" x14ac:dyDescent="0.2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 spans="1:26" ht="15" x14ac:dyDescent="0.2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 spans="1:26" ht="15" x14ac:dyDescent="0.2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 spans="1:26" ht="15" x14ac:dyDescent="0.2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 spans="1:26" ht="15" x14ac:dyDescent="0.2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 spans="1:26" ht="15" x14ac:dyDescent="0.2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 spans="1:26" ht="15" x14ac:dyDescent="0.2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 spans="1:26" ht="15" x14ac:dyDescent="0.2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 spans="1:26" ht="15" x14ac:dyDescent="0.2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 spans="1:26" ht="15" x14ac:dyDescent="0.2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 spans="1:26" ht="15" x14ac:dyDescent="0.2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 spans="1:26" ht="15" x14ac:dyDescent="0.2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 spans="1:26" ht="15" x14ac:dyDescent="0.2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 spans="1:26" ht="15" x14ac:dyDescent="0.2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 spans="1:26" ht="15" x14ac:dyDescent="0.2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 spans="1:26" ht="15" x14ac:dyDescent="0.2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 spans="1:26" ht="15" x14ac:dyDescent="0.2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 spans="1:26" ht="15" x14ac:dyDescent="0.2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 spans="1:26" ht="15" x14ac:dyDescent="0.2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 spans="1:26" ht="15" x14ac:dyDescent="0.2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 spans="1:26" ht="15" x14ac:dyDescent="0.2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 spans="1:26" ht="15" x14ac:dyDescent="0.2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 spans="1:26" ht="15" x14ac:dyDescent="0.2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 spans="1:26" ht="15" x14ac:dyDescent="0.2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 spans="1:26" ht="15" x14ac:dyDescent="0.2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 spans="1:26" ht="15" x14ac:dyDescent="0.2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 spans="1:26" ht="15" x14ac:dyDescent="0.2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 spans="1:26" ht="15" x14ac:dyDescent="0.2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 spans="1:26" ht="15" x14ac:dyDescent="0.2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 spans="1:26" ht="15" x14ac:dyDescent="0.2">
      <c r="A287" s="169"/>
      <c r="B287" s="169"/>
      <c r="C287" s="169"/>
      <c r="D287" s="169"/>
      <c r="E287" s="169"/>
      <c r="F287" s="169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 spans="1:26" ht="15" x14ac:dyDescent="0.2">
      <c r="A288" s="169"/>
      <c r="B288" s="169"/>
      <c r="C288" s="169"/>
      <c r="D288" s="169"/>
      <c r="E288" s="169"/>
      <c r="F288" s="169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 spans="1:26" ht="15" x14ac:dyDescent="0.2">
      <c r="A289" s="169"/>
      <c r="B289" s="169"/>
      <c r="C289" s="169"/>
      <c r="D289" s="169"/>
      <c r="E289" s="169"/>
      <c r="F289" s="169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 spans="1:26" ht="15" x14ac:dyDescent="0.2">
      <c r="A290" s="169"/>
      <c r="B290" s="169"/>
      <c r="C290" s="169"/>
      <c r="D290" s="169"/>
      <c r="E290" s="169"/>
      <c r="F290" s="169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 spans="1:26" ht="15" x14ac:dyDescent="0.2">
      <c r="A291" s="169"/>
      <c r="B291" s="169"/>
      <c r="C291" s="169"/>
      <c r="D291" s="169"/>
      <c r="E291" s="169"/>
      <c r="F291" s="169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 spans="1:26" ht="15" x14ac:dyDescent="0.2">
      <c r="A292" s="169"/>
      <c r="B292" s="169"/>
      <c r="C292" s="169"/>
      <c r="D292" s="169"/>
      <c r="E292" s="169"/>
      <c r="F292" s="169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</row>
    <row r="293" spans="1:26" ht="15" x14ac:dyDescent="0.2">
      <c r="A293" s="169"/>
      <c r="B293" s="169"/>
      <c r="C293" s="169"/>
      <c r="D293" s="169"/>
      <c r="E293" s="169"/>
      <c r="F293" s="169"/>
      <c r="G293" s="16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</row>
    <row r="294" spans="1:26" ht="15" x14ac:dyDescent="0.2">
      <c r="A294" s="169"/>
      <c r="B294" s="169"/>
      <c r="C294" s="169"/>
      <c r="D294" s="169"/>
      <c r="E294" s="169"/>
      <c r="F294" s="169"/>
      <c r="G294" s="169"/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</row>
    <row r="295" spans="1:26" ht="15" x14ac:dyDescent="0.2">
      <c r="A295" s="169"/>
      <c r="B295" s="169"/>
      <c r="C295" s="169"/>
      <c r="D295" s="169"/>
      <c r="E295" s="169"/>
      <c r="F295" s="169"/>
      <c r="G295" s="16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</row>
    <row r="296" spans="1:26" ht="15" x14ac:dyDescent="0.2">
      <c r="A296" s="169"/>
      <c r="B296" s="169"/>
      <c r="C296" s="169"/>
      <c r="D296" s="169"/>
      <c r="E296" s="169"/>
      <c r="F296" s="169"/>
      <c r="G296" s="169"/>
      <c r="H296" s="169"/>
      <c r="I296" s="169"/>
      <c r="J296" s="169"/>
      <c r="K296" s="169"/>
      <c r="L296" s="169"/>
      <c r="M296" s="169"/>
      <c r="N296" s="169"/>
      <c r="O296" s="169"/>
      <c r="P296" s="169"/>
      <c r="Q296" s="169"/>
      <c r="R296" s="169"/>
      <c r="S296" s="169"/>
      <c r="T296" s="169"/>
      <c r="U296" s="169"/>
      <c r="V296" s="169"/>
      <c r="W296" s="169"/>
      <c r="X296" s="169"/>
      <c r="Y296" s="169"/>
      <c r="Z296" s="169"/>
    </row>
    <row r="297" spans="1:26" ht="15" x14ac:dyDescent="0.2">
      <c r="A297" s="169"/>
      <c r="B297" s="169"/>
      <c r="C297" s="169"/>
      <c r="D297" s="169"/>
      <c r="E297" s="169"/>
      <c r="F297" s="169"/>
      <c r="G297" s="16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</row>
    <row r="298" spans="1:26" ht="15" x14ac:dyDescent="0.2">
      <c r="A298" s="169"/>
      <c r="B298" s="169"/>
      <c r="C298" s="169"/>
      <c r="D298" s="169"/>
      <c r="E298" s="169"/>
      <c r="F298" s="169"/>
      <c r="G298" s="169"/>
      <c r="H298" s="169"/>
      <c r="I298" s="169"/>
      <c r="J298" s="169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</row>
    <row r="299" spans="1:26" ht="15" x14ac:dyDescent="0.2">
      <c r="A299" s="169"/>
      <c r="B299" s="169"/>
      <c r="C299" s="169"/>
      <c r="D299" s="169"/>
      <c r="E299" s="169"/>
      <c r="F299" s="169"/>
      <c r="G299" s="169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</row>
    <row r="300" spans="1:26" ht="15" x14ac:dyDescent="0.2">
      <c r="A300" s="169"/>
      <c r="B300" s="169"/>
      <c r="C300" s="169"/>
      <c r="D300" s="169"/>
      <c r="E300" s="169"/>
      <c r="F300" s="169"/>
      <c r="G300" s="169"/>
      <c r="H300" s="169"/>
      <c r="I300" s="169"/>
      <c r="J300" s="169"/>
      <c r="K300" s="169"/>
      <c r="L300" s="169"/>
      <c r="M300" s="169"/>
      <c r="N300" s="169"/>
      <c r="O300" s="169"/>
      <c r="P300" s="169"/>
      <c r="Q300" s="169"/>
      <c r="R300" s="169"/>
      <c r="S300" s="169"/>
      <c r="T300" s="169"/>
      <c r="U300" s="169"/>
      <c r="V300" s="169"/>
      <c r="W300" s="169"/>
      <c r="X300" s="169"/>
      <c r="Y300" s="169"/>
      <c r="Z300" s="169"/>
    </row>
    <row r="301" spans="1:26" ht="15" x14ac:dyDescent="0.2">
      <c r="A301" s="169"/>
      <c r="B301" s="169"/>
      <c r="C301" s="169"/>
      <c r="D301" s="169"/>
      <c r="E301" s="169"/>
      <c r="F301" s="169"/>
      <c r="G301" s="169"/>
      <c r="H301" s="169"/>
      <c r="I301" s="169"/>
      <c r="J301" s="169"/>
      <c r="K301" s="169"/>
      <c r="L301" s="169"/>
      <c r="M301" s="169"/>
      <c r="N301" s="169"/>
      <c r="O301" s="169"/>
      <c r="P301" s="169"/>
      <c r="Q301" s="169"/>
      <c r="R301" s="169"/>
      <c r="S301" s="169"/>
      <c r="T301" s="169"/>
      <c r="U301" s="169"/>
      <c r="V301" s="169"/>
      <c r="W301" s="169"/>
      <c r="X301" s="169"/>
      <c r="Y301" s="169"/>
      <c r="Z301" s="169"/>
    </row>
    <row r="302" spans="1:26" ht="15" x14ac:dyDescent="0.2">
      <c r="A302" s="169"/>
      <c r="B302" s="169"/>
      <c r="C302" s="169"/>
      <c r="D302" s="169"/>
      <c r="E302" s="169"/>
      <c r="F302" s="169"/>
      <c r="G302" s="169"/>
      <c r="H302" s="169"/>
      <c r="I302" s="169"/>
      <c r="J302" s="169"/>
      <c r="K302" s="169"/>
      <c r="L302" s="169"/>
      <c r="M302" s="169"/>
      <c r="N302" s="169"/>
      <c r="O302" s="169"/>
      <c r="P302" s="169"/>
      <c r="Q302" s="169"/>
      <c r="R302" s="169"/>
      <c r="S302" s="169"/>
      <c r="T302" s="169"/>
      <c r="U302" s="169"/>
      <c r="V302" s="169"/>
      <c r="W302" s="169"/>
      <c r="X302" s="169"/>
      <c r="Y302" s="169"/>
      <c r="Z302" s="169"/>
    </row>
    <row r="303" spans="1:26" ht="15" x14ac:dyDescent="0.2">
      <c r="A303" s="169"/>
      <c r="B303" s="169"/>
      <c r="C303" s="169"/>
      <c r="D303" s="169"/>
      <c r="E303" s="169"/>
      <c r="F303" s="169"/>
      <c r="G303" s="169"/>
      <c r="H303" s="169"/>
      <c r="I303" s="169"/>
      <c r="J303" s="169"/>
      <c r="K303" s="169"/>
      <c r="L303" s="169"/>
      <c r="M303" s="169"/>
      <c r="N303" s="169"/>
      <c r="O303" s="169"/>
      <c r="P303" s="169"/>
      <c r="Q303" s="169"/>
      <c r="R303" s="169"/>
      <c r="S303" s="169"/>
      <c r="T303" s="169"/>
      <c r="U303" s="169"/>
      <c r="V303" s="169"/>
      <c r="W303" s="169"/>
      <c r="X303" s="169"/>
      <c r="Y303" s="169"/>
      <c r="Z303" s="169"/>
    </row>
    <row r="304" spans="1:26" ht="15" x14ac:dyDescent="0.2">
      <c r="A304" s="169"/>
      <c r="B304" s="169"/>
      <c r="C304" s="169"/>
      <c r="D304" s="169"/>
      <c r="E304" s="169"/>
      <c r="F304" s="169"/>
      <c r="G304" s="169"/>
      <c r="H304" s="169"/>
      <c r="I304" s="169"/>
      <c r="J304" s="169"/>
      <c r="K304" s="169"/>
      <c r="L304" s="169"/>
      <c r="M304" s="169"/>
      <c r="N304" s="169"/>
      <c r="O304" s="169"/>
      <c r="P304" s="169"/>
      <c r="Q304" s="169"/>
      <c r="R304" s="169"/>
      <c r="S304" s="169"/>
      <c r="T304" s="169"/>
      <c r="U304" s="169"/>
      <c r="V304" s="169"/>
      <c r="W304" s="169"/>
      <c r="X304" s="169"/>
      <c r="Y304" s="169"/>
      <c r="Z304" s="169"/>
    </row>
    <row r="305" spans="1:26" ht="15" x14ac:dyDescent="0.2">
      <c r="A305" s="169"/>
      <c r="B305" s="169"/>
      <c r="C305" s="169"/>
      <c r="D305" s="169"/>
      <c r="E305" s="169"/>
      <c r="F305" s="169"/>
      <c r="G305" s="169"/>
      <c r="H305" s="169"/>
      <c r="I305" s="169"/>
      <c r="J305" s="169"/>
      <c r="K305" s="169"/>
      <c r="L305" s="169"/>
      <c r="M305" s="169"/>
      <c r="N305" s="169"/>
      <c r="O305" s="169"/>
      <c r="P305" s="169"/>
      <c r="Q305" s="169"/>
      <c r="R305" s="169"/>
      <c r="S305" s="169"/>
      <c r="T305" s="169"/>
      <c r="U305" s="169"/>
      <c r="V305" s="169"/>
      <c r="W305" s="169"/>
      <c r="X305" s="169"/>
      <c r="Y305" s="169"/>
      <c r="Z305" s="169"/>
    </row>
    <row r="306" spans="1:26" ht="15" x14ac:dyDescent="0.2">
      <c r="A306" s="169"/>
      <c r="B306" s="169"/>
      <c r="C306" s="169"/>
      <c r="D306" s="169"/>
      <c r="E306" s="169"/>
      <c r="F306" s="169"/>
      <c r="G306" s="169"/>
      <c r="H306" s="169"/>
      <c r="I306" s="169"/>
      <c r="J306" s="169"/>
      <c r="K306" s="169"/>
      <c r="L306" s="169"/>
      <c r="M306" s="169"/>
      <c r="N306" s="169"/>
      <c r="O306" s="169"/>
      <c r="P306" s="169"/>
      <c r="Q306" s="169"/>
      <c r="R306" s="169"/>
      <c r="S306" s="169"/>
      <c r="T306" s="169"/>
      <c r="U306" s="169"/>
      <c r="V306" s="169"/>
      <c r="W306" s="169"/>
      <c r="X306" s="169"/>
      <c r="Y306" s="169"/>
      <c r="Z306" s="169"/>
    </row>
    <row r="307" spans="1:26" ht="15" x14ac:dyDescent="0.2">
      <c r="A307" s="169"/>
      <c r="B307" s="169"/>
      <c r="C307" s="169"/>
      <c r="D307" s="169"/>
      <c r="E307" s="169"/>
      <c r="F307" s="169"/>
      <c r="G307" s="169"/>
      <c r="H307" s="169"/>
      <c r="I307" s="169"/>
      <c r="J307" s="169"/>
      <c r="K307" s="169"/>
      <c r="L307" s="169"/>
      <c r="M307" s="169"/>
      <c r="N307" s="169"/>
      <c r="O307" s="169"/>
      <c r="P307" s="169"/>
      <c r="Q307" s="169"/>
      <c r="R307" s="169"/>
      <c r="S307" s="169"/>
      <c r="T307" s="169"/>
      <c r="U307" s="169"/>
      <c r="V307" s="169"/>
      <c r="W307" s="169"/>
      <c r="X307" s="169"/>
      <c r="Y307" s="169"/>
      <c r="Z307" s="169"/>
    </row>
    <row r="308" spans="1:26" ht="15" x14ac:dyDescent="0.2">
      <c r="A308" s="169"/>
      <c r="B308" s="169"/>
      <c r="C308" s="169"/>
      <c r="D308" s="169"/>
      <c r="E308" s="169"/>
      <c r="F308" s="169"/>
      <c r="G308" s="169"/>
      <c r="H308" s="169"/>
      <c r="I308" s="169"/>
      <c r="J308" s="169"/>
      <c r="K308" s="169"/>
      <c r="L308" s="169"/>
      <c r="M308" s="169"/>
      <c r="N308" s="169"/>
      <c r="O308" s="169"/>
      <c r="P308" s="169"/>
      <c r="Q308" s="169"/>
      <c r="R308" s="169"/>
      <c r="S308" s="169"/>
      <c r="T308" s="169"/>
      <c r="U308" s="169"/>
      <c r="V308" s="169"/>
      <c r="W308" s="169"/>
      <c r="X308" s="169"/>
      <c r="Y308" s="169"/>
      <c r="Z308" s="169"/>
    </row>
    <row r="309" spans="1:26" ht="15" x14ac:dyDescent="0.2">
      <c r="A309" s="169"/>
      <c r="B309" s="169"/>
      <c r="C309" s="169"/>
      <c r="D309" s="169"/>
      <c r="E309" s="169"/>
      <c r="F309" s="169"/>
      <c r="G309" s="169"/>
      <c r="H309" s="169"/>
      <c r="I309" s="169"/>
      <c r="J309" s="169"/>
      <c r="K309" s="169"/>
      <c r="L309" s="169"/>
      <c r="M309" s="169"/>
      <c r="N309" s="169"/>
      <c r="O309" s="169"/>
      <c r="P309" s="169"/>
      <c r="Q309" s="169"/>
      <c r="R309" s="169"/>
      <c r="S309" s="169"/>
      <c r="T309" s="169"/>
      <c r="U309" s="169"/>
      <c r="V309" s="169"/>
      <c r="W309" s="169"/>
      <c r="X309" s="169"/>
      <c r="Y309" s="169"/>
      <c r="Z309" s="169"/>
    </row>
    <row r="310" spans="1:26" ht="15" x14ac:dyDescent="0.2">
      <c r="A310" s="169"/>
      <c r="B310" s="169"/>
      <c r="C310" s="169"/>
      <c r="D310" s="169"/>
      <c r="E310" s="169"/>
      <c r="F310" s="169"/>
      <c r="G310" s="169"/>
      <c r="H310" s="169"/>
      <c r="I310" s="169"/>
      <c r="J310" s="169"/>
      <c r="K310" s="169"/>
      <c r="L310" s="169"/>
      <c r="M310" s="169"/>
      <c r="N310" s="169"/>
      <c r="O310" s="169"/>
      <c r="P310" s="169"/>
      <c r="Q310" s="169"/>
      <c r="R310" s="169"/>
      <c r="S310" s="169"/>
      <c r="T310" s="169"/>
      <c r="U310" s="169"/>
      <c r="V310" s="169"/>
      <c r="W310" s="169"/>
      <c r="X310" s="169"/>
      <c r="Y310" s="169"/>
      <c r="Z310" s="169"/>
    </row>
    <row r="311" spans="1:26" ht="15" x14ac:dyDescent="0.2">
      <c r="A311" s="169"/>
      <c r="B311" s="169"/>
      <c r="C311" s="169"/>
      <c r="D311" s="169"/>
      <c r="E311" s="169"/>
      <c r="F311" s="169"/>
      <c r="G311" s="169"/>
      <c r="H311" s="169"/>
      <c r="I311" s="169"/>
      <c r="J311" s="169"/>
      <c r="K311" s="169"/>
      <c r="L311" s="169"/>
      <c r="M311" s="169"/>
      <c r="N311" s="169"/>
      <c r="O311" s="169"/>
      <c r="P311" s="169"/>
      <c r="Q311" s="169"/>
      <c r="R311" s="169"/>
      <c r="S311" s="169"/>
      <c r="T311" s="169"/>
      <c r="U311" s="169"/>
      <c r="V311" s="169"/>
      <c r="W311" s="169"/>
      <c r="X311" s="169"/>
      <c r="Y311" s="169"/>
      <c r="Z311" s="169"/>
    </row>
    <row r="312" spans="1:26" ht="15" x14ac:dyDescent="0.2">
      <c r="A312" s="169"/>
      <c r="B312" s="169"/>
      <c r="C312" s="169"/>
      <c r="D312" s="169"/>
      <c r="E312" s="169"/>
      <c r="F312" s="169"/>
      <c r="G312" s="169"/>
      <c r="H312" s="169"/>
      <c r="I312" s="169"/>
      <c r="J312" s="169"/>
      <c r="K312" s="169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  <c r="Y312" s="169"/>
      <c r="Z312" s="169"/>
    </row>
    <row r="313" spans="1:26" ht="15" x14ac:dyDescent="0.2">
      <c r="A313" s="169"/>
      <c r="B313" s="169"/>
      <c r="C313" s="169"/>
      <c r="D313" s="169"/>
      <c r="E313" s="169"/>
      <c r="F313" s="169"/>
      <c r="G313" s="169"/>
      <c r="H313" s="169"/>
      <c r="I313" s="169"/>
      <c r="J313" s="169"/>
      <c r="K313" s="169"/>
      <c r="L313" s="169"/>
      <c r="M313" s="169"/>
      <c r="N313" s="169"/>
      <c r="O313" s="169"/>
      <c r="P313" s="169"/>
      <c r="Q313" s="169"/>
      <c r="R313" s="169"/>
      <c r="S313" s="169"/>
      <c r="T313" s="169"/>
      <c r="U313" s="169"/>
      <c r="V313" s="169"/>
      <c r="W313" s="169"/>
      <c r="X313" s="169"/>
      <c r="Y313" s="169"/>
      <c r="Z313" s="169"/>
    </row>
    <row r="314" spans="1:26" ht="15" x14ac:dyDescent="0.2">
      <c r="A314" s="169"/>
      <c r="B314" s="169"/>
      <c r="C314" s="169"/>
      <c r="D314" s="169"/>
      <c r="E314" s="169"/>
      <c r="F314" s="169"/>
      <c r="G314" s="169"/>
      <c r="H314" s="169"/>
      <c r="I314" s="169"/>
      <c r="J314" s="169"/>
      <c r="K314" s="169"/>
      <c r="L314" s="169"/>
      <c r="M314" s="169"/>
      <c r="N314" s="169"/>
      <c r="O314" s="169"/>
      <c r="P314" s="169"/>
      <c r="Q314" s="169"/>
      <c r="R314" s="169"/>
      <c r="S314" s="169"/>
      <c r="T314" s="169"/>
      <c r="U314" s="169"/>
      <c r="V314" s="169"/>
      <c r="W314" s="169"/>
      <c r="X314" s="169"/>
      <c r="Y314" s="169"/>
      <c r="Z314" s="169"/>
    </row>
    <row r="315" spans="1:26" ht="15" x14ac:dyDescent="0.2">
      <c r="A315" s="169"/>
      <c r="B315" s="169"/>
      <c r="C315" s="169"/>
      <c r="D315" s="169"/>
      <c r="E315" s="169"/>
      <c r="F315" s="169"/>
      <c r="G315" s="169"/>
      <c r="H315" s="169"/>
      <c r="I315" s="169"/>
      <c r="J315" s="169"/>
      <c r="K315" s="169"/>
      <c r="L315" s="169"/>
      <c r="M315" s="169"/>
      <c r="N315" s="169"/>
      <c r="O315" s="169"/>
      <c r="P315" s="169"/>
      <c r="Q315" s="169"/>
      <c r="R315" s="169"/>
      <c r="S315" s="169"/>
      <c r="T315" s="169"/>
      <c r="U315" s="169"/>
      <c r="V315" s="169"/>
      <c r="W315" s="169"/>
      <c r="X315" s="169"/>
      <c r="Y315" s="169"/>
      <c r="Z315" s="169"/>
    </row>
    <row r="316" spans="1:26" ht="15" x14ac:dyDescent="0.2">
      <c r="A316" s="169"/>
      <c r="B316" s="169"/>
      <c r="C316" s="169"/>
      <c r="D316" s="169"/>
      <c r="E316" s="169"/>
      <c r="F316" s="169"/>
      <c r="G316" s="169"/>
      <c r="H316" s="169"/>
      <c r="I316" s="169"/>
      <c r="J316" s="169"/>
      <c r="K316" s="169"/>
      <c r="L316" s="169"/>
      <c r="M316" s="169"/>
      <c r="N316" s="169"/>
      <c r="O316" s="169"/>
      <c r="P316" s="169"/>
      <c r="Q316" s="169"/>
      <c r="R316" s="169"/>
      <c r="S316" s="169"/>
      <c r="T316" s="169"/>
      <c r="U316" s="169"/>
      <c r="V316" s="169"/>
      <c r="W316" s="169"/>
      <c r="X316" s="169"/>
      <c r="Y316" s="169"/>
      <c r="Z316" s="169"/>
    </row>
    <row r="317" spans="1:26" ht="15" x14ac:dyDescent="0.2">
      <c r="A317" s="169"/>
      <c r="B317" s="169"/>
      <c r="C317" s="169"/>
      <c r="D317" s="169"/>
      <c r="E317" s="169"/>
      <c r="F317" s="169"/>
      <c r="G317" s="169"/>
      <c r="H317" s="169"/>
      <c r="I317" s="169"/>
      <c r="J317" s="169"/>
      <c r="K317" s="169"/>
      <c r="L317" s="169"/>
      <c r="M317" s="169"/>
      <c r="N317" s="169"/>
      <c r="O317" s="169"/>
      <c r="P317" s="169"/>
      <c r="Q317" s="169"/>
      <c r="R317" s="169"/>
      <c r="S317" s="169"/>
      <c r="T317" s="169"/>
      <c r="U317" s="169"/>
      <c r="V317" s="169"/>
      <c r="W317" s="169"/>
      <c r="X317" s="169"/>
      <c r="Y317" s="169"/>
      <c r="Z317" s="169"/>
    </row>
    <row r="318" spans="1:26" ht="15" x14ac:dyDescent="0.2">
      <c r="A318" s="169"/>
      <c r="B318" s="169"/>
      <c r="C318" s="169"/>
      <c r="D318" s="169"/>
      <c r="E318" s="169"/>
      <c r="F318" s="169"/>
      <c r="G318" s="169"/>
      <c r="H318" s="169"/>
      <c r="I318" s="169"/>
      <c r="J318" s="169"/>
      <c r="K318" s="169"/>
      <c r="L318" s="169"/>
      <c r="M318" s="169"/>
      <c r="N318" s="169"/>
      <c r="O318" s="169"/>
      <c r="P318" s="169"/>
      <c r="Q318" s="169"/>
      <c r="R318" s="169"/>
      <c r="S318" s="169"/>
      <c r="T318" s="169"/>
      <c r="U318" s="169"/>
      <c r="V318" s="169"/>
      <c r="W318" s="169"/>
      <c r="X318" s="169"/>
      <c r="Y318" s="169"/>
      <c r="Z318" s="169"/>
    </row>
    <row r="319" spans="1:26" ht="15" x14ac:dyDescent="0.2">
      <c r="A319" s="169"/>
      <c r="B319" s="169"/>
      <c r="C319" s="169"/>
      <c r="D319" s="169"/>
      <c r="E319" s="169"/>
      <c r="F319" s="169"/>
      <c r="G319" s="169"/>
      <c r="H319" s="169"/>
      <c r="I319" s="169"/>
      <c r="J319" s="169"/>
      <c r="K319" s="169"/>
      <c r="L319" s="169"/>
      <c r="M319" s="169"/>
      <c r="N319" s="169"/>
      <c r="O319" s="169"/>
      <c r="P319" s="169"/>
      <c r="Q319" s="169"/>
      <c r="R319" s="169"/>
      <c r="S319" s="169"/>
      <c r="T319" s="169"/>
      <c r="U319" s="169"/>
      <c r="V319" s="169"/>
      <c r="W319" s="169"/>
      <c r="X319" s="169"/>
      <c r="Y319" s="169"/>
      <c r="Z319" s="169"/>
    </row>
    <row r="320" spans="1:26" ht="15" x14ac:dyDescent="0.2">
      <c r="A320" s="169"/>
      <c r="B320" s="169"/>
      <c r="C320" s="169"/>
      <c r="D320" s="169"/>
      <c r="E320" s="169"/>
      <c r="F320" s="169"/>
      <c r="G320" s="169"/>
      <c r="H320" s="169"/>
      <c r="I320" s="169"/>
      <c r="J320" s="169"/>
      <c r="K320" s="169"/>
      <c r="L320" s="169"/>
      <c r="M320" s="169"/>
      <c r="N320" s="169"/>
      <c r="O320" s="169"/>
      <c r="P320" s="169"/>
      <c r="Q320" s="169"/>
      <c r="R320" s="169"/>
      <c r="S320" s="169"/>
      <c r="T320" s="169"/>
      <c r="U320" s="169"/>
      <c r="V320" s="169"/>
      <c r="W320" s="169"/>
      <c r="X320" s="169"/>
      <c r="Y320" s="169"/>
      <c r="Z320" s="169"/>
    </row>
    <row r="321" spans="1:26" ht="15" x14ac:dyDescent="0.2">
      <c r="A321" s="169"/>
      <c r="B321" s="169"/>
      <c r="C321" s="169"/>
      <c r="D321" s="169"/>
      <c r="E321" s="169"/>
      <c r="F321" s="169"/>
      <c r="G321" s="169"/>
      <c r="H321" s="169"/>
      <c r="I321" s="169"/>
      <c r="J321" s="169"/>
      <c r="K321" s="169"/>
      <c r="L321" s="169"/>
      <c r="M321" s="169"/>
      <c r="N321" s="169"/>
      <c r="O321" s="169"/>
      <c r="P321" s="169"/>
      <c r="Q321" s="169"/>
      <c r="R321" s="169"/>
      <c r="S321" s="169"/>
      <c r="T321" s="169"/>
      <c r="U321" s="169"/>
      <c r="V321" s="169"/>
      <c r="W321" s="169"/>
      <c r="X321" s="169"/>
      <c r="Y321" s="169"/>
      <c r="Z321" s="169"/>
    </row>
    <row r="322" spans="1:26" ht="15" x14ac:dyDescent="0.2">
      <c r="A322" s="169"/>
      <c r="B322" s="169"/>
      <c r="C322" s="169"/>
      <c r="D322" s="169"/>
      <c r="E322" s="169"/>
      <c r="F322" s="169"/>
      <c r="G322" s="169"/>
      <c r="H322" s="169"/>
      <c r="I322" s="169"/>
      <c r="J322" s="169"/>
      <c r="K322" s="169"/>
      <c r="L322" s="169"/>
      <c r="M322" s="169"/>
      <c r="N322" s="169"/>
      <c r="O322" s="169"/>
      <c r="P322" s="169"/>
      <c r="Q322" s="169"/>
      <c r="R322" s="169"/>
      <c r="S322" s="169"/>
      <c r="T322" s="169"/>
      <c r="U322" s="169"/>
      <c r="V322" s="169"/>
      <c r="W322" s="169"/>
      <c r="X322" s="169"/>
      <c r="Y322" s="169"/>
      <c r="Z322" s="169"/>
    </row>
    <row r="323" spans="1:26" ht="15" x14ac:dyDescent="0.2">
      <c r="A323" s="169"/>
      <c r="B323" s="169"/>
      <c r="C323" s="169"/>
      <c r="D323" s="169"/>
      <c r="E323" s="169"/>
      <c r="F323" s="169"/>
      <c r="G323" s="169"/>
      <c r="H323" s="169"/>
      <c r="I323" s="169"/>
      <c r="J323" s="169"/>
      <c r="K323" s="169"/>
      <c r="L323" s="169"/>
      <c r="M323" s="169"/>
      <c r="N323" s="169"/>
      <c r="O323" s="169"/>
      <c r="P323" s="169"/>
      <c r="Q323" s="169"/>
      <c r="R323" s="169"/>
      <c r="S323" s="169"/>
      <c r="T323" s="169"/>
      <c r="U323" s="169"/>
      <c r="V323" s="169"/>
      <c r="W323" s="169"/>
      <c r="X323" s="169"/>
      <c r="Y323" s="169"/>
      <c r="Z323" s="169"/>
    </row>
    <row r="324" spans="1:26" ht="15" x14ac:dyDescent="0.2">
      <c r="A324" s="169"/>
      <c r="B324" s="169"/>
      <c r="C324" s="169"/>
      <c r="D324" s="169"/>
      <c r="E324" s="169"/>
      <c r="F324" s="169"/>
      <c r="G324" s="169"/>
      <c r="H324" s="169"/>
      <c r="I324" s="169"/>
      <c r="J324" s="169"/>
      <c r="K324" s="169"/>
      <c r="L324" s="169"/>
      <c r="M324" s="169"/>
      <c r="N324" s="169"/>
      <c r="O324" s="169"/>
      <c r="P324" s="169"/>
      <c r="Q324" s="169"/>
      <c r="R324" s="169"/>
      <c r="S324" s="169"/>
      <c r="T324" s="169"/>
      <c r="U324" s="169"/>
      <c r="V324" s="169"/>
      <c r="W324" s="169"/>
      <c r="X324" s="169"/>
      <c r="Y324" s="169"/>
      <c r="Z324" s="169"/>
    </row>
    <row r="325" spans="1:26" ht="15" x14ac:dyDescent="0.2">
      <c r="A325" s="169"/>
      <c r="B325" s="169"/>
      <c r="C325" s="169"/>
      <c r="D325" s="169"/>
      <c r="E325" s="169"/>
      <c r="F325" s="169"/>
      <c r="G325" s="169"/>
      <c r="H325" s="169"/>
      <c r="I325" s="169"/>
      <c r="J325" s="169"/>
      <c r="K325" s="169"/>
      <c r="L325" s="169"/>
      <c r="M325" s="169"/>
      <c r="N325" s="169"/>
      <c r="O325" s="169"/>
      <c r="P325" s="169"/>
      <c r="Q325" s="169"/>
      <c r="R325" s="169"/>
      <c r="S325" s="169"/>
      <c r="T325" s="169"/>
      <c r="U325" s="169"/>
      <c r="V325" s="169"/>
      <c r="W325" s="169"/>
      <c r="X325" s="169"/>
      <c r="Y325" s="169"/>
      <c r="Z325" s="169"/>
    </row>
    <row r="326" spans="1:26" ht="15" x14ac:dyDescent="0.2">
      <c r="A326" s="169"/>
      <c r="B326" s="169"/>
      <c r="C326" s="169"/>
      <c r="D326" s="169"/>
      <c r="E326" s="169"/>
      <c r="F326" s="169"/>
      <c r="G326" s="169"/>
      <c r="H326" s="169"/>
      <c r="I326" s="169"/>
      <c r="J326" s="169"/>
      <c r="K326" s="169"/>
      <c r="L326" s="169"/>
      <c r="M326" s="169"/>
      <c r="N326" s="169"/>
      <c r="O326" s="169"/>
      <c r="P326" s="169"/>
      <c r="Q326" s="169"/>
      <c r="R326" s="169"/>
      <c r="S326" s="169"/>
      <c r="T326" s="169"/>
      <c r="U326" s="169"/>
      <c r="V326" s="169"/>
      <c r="W326" s="169"/>
      <c r="X326" s="169"/>
      <c r="Y326" s="169"/>
      <c r="Z326" s="169"/>
    </row>
    <row r="327" spans="1:26" ht="15" x14ac:dyDescent="0.2">
      <c r="A327" s="169"/>
      <c r="B327" s="169"/>
      <c r="C327" s="169"/>
      <c r="D327" s="169"/>
      <c r="E327" s="169"/>
      <c r="F327" s="169"/>
      <c r="G327" s="169"/>
      <c r="H327" s="169"/>
      <c r="I327" s="169"/>
      <c r="J327" s="169"/>
      <c r="K327" s="169"/>
      <c r="L327" s="169"/>
      <c r="M327" s="169"/>
      <c r="N327" s="169"/>
      <c r="O327" s="169"/>
      <c r="P327" s="169"/>
      <c r="Q327" s="169"/>
      <c r="R327" s="169"/>
      <c r="S327" s="169"/>
      <c r="T327" s="169"/>
      <c r="U327" s="169"/>
      <c r="V327" s="169"/>
      <c r="W327" s="169"/>
      <c r="X327" s="169"/>
      <c r="Y327" s="169"/>
      <c r="Z327" s="169"/>
    </row>
    <row r="328" spans="1:26" ht="15" x14ac:dyDescent="0.2">
      <c r="A328" s="169"/>
      <c r="B328" s="169"/>
      <c r="C328" s="169"/>
      <c r="D328" s="169"/>
      <c r="E328" s="169"/>
      <c r="F328" s="169"/>
      <c r="G328" s="169"/>
      <c r="H328" s="169"/>
      <c r="I328" s="169"/>
      <c r="J328" s="169"/>
      <c r="K328" s="169"/>
      <c r="L328" s="169"/>
      <c r="M328" s="169"/>
      <c r="N328" s="169"/>
      <c r="O328" s="169"/>
      <c r="P328" s="169"/>
      <c r="Q328" s="169"/>
      <c r="R328" s="169"/>
      <c r="S328" s="169"/>
      <c r="T328" s="169"/>
      <c r="U328" s="169"/>
      <c r="V328" s="169"/>
      <c r="W328" s="169"/>
      <c r="X328" s="169"/>
      <c r="Y328" s="169"/>
      <c r="Z328" s="169"/>
    </row>
    <row r="329" spans="1:26" ht="15" x14ac:dyDescent="0.2">
      <c r="A329" s="169"/>
      <c r="B329" s="169"/>
      <c r="C329" s="169"/>
      <c r="D329" s="169"/>
      <c r="E329" s="169"/>
      <c r="F329" s="169"/>
      <c r="G329" s="169"/>
      <c r="H329" s="169"/>
      <c r="I329" s="169"/>
      <c r="J329" s="169"/>
      <c r="K329" s="169"/>
      <c r="L329" s="169"/>
      <c r="M329" s="169"/>
      <c r="N329" s="169"/>
      <c r="O329" s="169"/>
      <c r="P329" s="169"/>
      <c r="Q329" s="169"/>
      <c r="R329" s="169"/>
      <c r="S329" s="169"/>
      <c r="T329" s="169"/>
      <c r="U329" s="169"/>
      <c r="V329" s="169"/>
      <c r="W329" s="169"/>
      <c r="X329" s="169"/>
      <c r="Y329" s="169"/>
      <c r="Z329" s="169"/>
    </row>
    <row r="330" spans="1:26" ht="15" x14ac:dyDescent="0.2">
      <c r="A330" s="169"/>
      <c r="B330" s="169"/>
      <c r="C330" s="169"/>
      <c r="D330" s="169"/>
      <c r="E330" s="169"/>
      <c r="F330" s="169"/>
      <c r="G330" s="169"/>
      <c r="H330" s="169"/>
      <c r="I330" s="169"/>
      <c r="J330" s="169"/>
      <c r="K330" s="169"/>
      <c r="L330" s="169"/>
      <c r="M330" s="169"/>
      <c r="N330" s="169"/>
      <c r="O330" s="169"/>
      <c r="P330" s="169"/>
      <c r="Q330" s="169"/>
      <c r="R330" s="169"/>
      <c r="S330" s="169"/>
      <c r="T330" s="169"/>
      <c r="U330" s="169"/>
      <c r="V330" s="169"/>
      <c r="W330" s="169"/>
      <c r="X330" s="169"/>
      <c r="Y330" s="169"/>
      <c r="Z330" s="169"/>
    </row>
    <row r="331" spans="1:26" ht="15" x14ac:dyDescent="0.2">
      <c r="A331" s="169"/>
      <c r="B331" s="169"/>
      <c r="C331" s="169"/>
      <c r="D331" s="169"/>
      <c r="E331" s="169"/>
      <c r="F331" s="169"/>
      <c r="G331" s="169"/>
      <c r="H331" s="169"/>
      <c r="I331" s="169"/>
      <c r="J331" s="169"/>
      <c r="K331" s="169"/>
      <c r="L331" s="169"/>
      <c r="M331" s="169"/>
      <c r="N331" s="169"/>
      <c r="O331" s="169"/>
      <c r="P331" s="169"/>
      <c r="Q331" s="169"/>
      <c r="R331" s="169"/>
      <c r="S331" s="169"/>
      <c r="T331" s="169"/>
      <c r="U331" s="169"/>
      <c r="V331" s="169"/>
      <c r="W331" s="169"/>
      <c r="X331" s="169"/>
      <c r="Y331" s="169"/>
      <c r="Z331" s="169"/>
    </row>
    <row r="332" spans="1:26" ht="15" x14ac:dyDescent="0.2">
      <c r="A332" s="169"/>
      <c r="B332" s="169"/>
      <c r="C332" s="169"/>
      <c r="D332" s="169"/>
      <c r="E332" s="169"/>
      <c r="F332" s="169"/>
      <c r="G332" s="169"/>
      <c r="H332" s="169"/>
      <c r="I332" s="169"/>
      <c r="J332" s="169"/>
      <c r="K332" s="169"/>
      <c r="L332" s="169"/>
      <c r="M332" s="169"/>
      <c r="N332" s="169"/>
      <c r="O332" s="169"/>
      <c r="P332" s="169"/>
      <c r="Q332" s="169"/>
      <c r="R332" s="169"/>
      <c r="S332" s="169"/>
      <c r="T332" s="169"/>
      <c r="U332" s="169"/>
      <c r="V332" s="169"/>
      <c r="W332" s="169"/>
      <c r="X332" s="169"/>
      <c r="Y332" s="169"/>
      <c r="Z332" s="169"/>
    </row>
    <row r="333" spans="1:26" ht="15" x14ac:dyDescent="0.2">
      <c r="A333" s="169"/>
      <c r="B333" s="169"/>
      <c r="C333" s="169"/>
      <c r="D333" s="169"/>
      <c r="E333" s="169"/>
      <c r="F333" s="169"/>
      <c r="G333" s="169"/>
      <c r="H333" s="169"/>
      <c r="I333" s="169"/>
      <c r="J333" s="169"/>
      <c r="K333" s="169"/>
      <c r="L333" s="169"/>
      <c r="M333" s="169"/>
      <c r="N333" s="169"/>
      <c r="O333" s="169"/>
      <c r="P333" s="169"/>
      <c r="Q333" s="169"/>
      <c r="R333" s="169"/>
      <c r="S333" s="169"/>
      <c r="T333" s="169"/>
      <c r="U333" s="169"/>
      <c r="V333" s="169"/>
      <c r="W333" s="169"/>
      <c r="X333" s="169"/>
      <c r="Y333" s="169"/>
      <c r="Z333" s="169"/>
    </row>
    <row r="334" spans="1:26" ht="15" x14ac:dyDescent="0.2">
      <c r="A334" s="169"/>
      <c r="B334" s="169"/>
      <c r="C334" s="169"/>
      <c r="D334" s="169"/>
      <c r="E334" s="169"/>
      <c r="F334" s="169"/>
      <c r="G334" s="169"/>
      <c r="H334" s="169"/>
      <c r="I334" s="169"/>
      <c r="J334" s="169"/>
      <c r="K334" s="169"/>
      <c r="L334" s="169"/>
      <c r="M334" s="169"/>
      <c r="N334" s="169"/>
      <c r="O334" s="169"/>
      <c r="P334" s="169"/>
      <c r="Q334" s="169"/>
      <c r="R334" s="169"/>
      <c r="S334" s="169"/>
      <c r="T334" s="169"/>
      <c r="U334" s="169"/>
      <c r="V334" s="169"/>
      <c r="W334" s="169"/>
      <c r="X334" s="169"/>
      <c r="Y334" s="169"/>
      <c r="Z334" s="169"/>
    </row>
    <row r="335" spans="1:26" ht="15" x14ac:dyDescent="0.2">
      <c r="A335" s="169"/>
      <c r="B335" s="169"/>
      <c r="C335" s="169"/>
      <c r="D335" s="169"/>
      <c r="E335" s="169"/>
      <c r="F335" s="169"/>
      <c r="G335" s="169"/>
      <c r="H335" s="169"/>
      <c r="I335" s="169"/>
      <c r="J335" s="169"/>
      <c r="K335" s="169"/>
      <c r="L335" s="169"/>
      <c r="M335" s="169"/>
      <c r="N335" s="169"/>
      <c r="O335" s="169"/>
      <c r="P335" s="169"/>
      <c r="Q335" s="169"/>
      <c r="R335" s="169"/>
      <c r="S335" s="169"/>
      <c r="T335" s="169"/>
      <c r="U335" s="169"/>
      <c r="V335" s="169"/>
      <c r="W335" s="169"/>
      <c r="X335" s="169"/>
      <c r="Y335" s="169"/>
      <c r="Z335" s="169"/>
    </row>
    <row r="336" spans="1:26" ht="15" x14ac:dyDescent="0.2">
      <c r="A336" s="169"/>
      <c r="B336" s="169"/>
      <c r="C336" s="169"/>
      <c r="D336" s="169"/>
      <c r="E336" s="169"/>
      <c r="F336" s="169"/>
      <c r="G336" s="169"/>
      <c r="H336" s="169"/>
      <c r="I336" s="169"/>
      <c r="J336" s="169"/>
      <c r="K336" s="169"/>
      <c r="L336" s="169"/>
      <c r="M336" s="169"/>
      <c r="N336" s="169"/>
      <c r="O336" s="169"/>
      <c r="P336" s="169"/>
      <c r="Q336" s="169"/>
      <c r="R336" s="169"/>
      <c r="S336" s="169"/>
      <c r="T336" s="169"/>
      <c r="U336" s="169"/>
      <c r="V336" s="169"/>
      <c r="W336" s="169"/>
      <c r="X336" s="169"/>
      <c r="Y336" s="169"/>
      <c r="Z336" s="169"/>
    </row>
    <row r="337" spans="1:26" ht="15" x14ac:dyDescent="0.2">
      <c r="A337" s="169"/>
      <c r="B337" s="169"/>
      <c r="C337" s="169"/>
      <c r="D337" s="169"/>
      <c r="E337" s="169"/>
      <c r="F337" s="169"/>
      <c r="G337" s="169"/>
      <c r="H337" s="169"/>
      <c r="I337" s="169"/>
      <c r="J337" s="169"/>
      <c r="K337" s="169"/>
      <c r="L337" s="169"/>
      <c r="M337" s="169"/>
      <c r="N337" s="169"/>
      <c r="O337" s="169"/>
      <c r="P337" s="169"/>
      <c r="Q337" s="169"/>
      <c r="R337" s="169"/>
      <c r="S337" s="169"/>
      <c r="T337" s="169"/>
      <c r="U337" s="169"/>
      <c r="V337" s="169"/>
      <c r="W337" s="169"/>
      <c r="X337" s="169"/>
      <c r="Y337" s="169"/>
      <c r="Z337" s="169"/>
    </row>
    <row r="338" spans="1:26" ht="15" x14ac:dyDescent="0.2">
      <c r="A338" s="169"/>
      <c r="B338" s="169"/>
      <c r="C338" s="169"/>
      <c r="D338" s="169"/>
      <c r="E338" s="169"/>
      <c r="F338" s="169"/>
      <c r="G338" s="169"/>
      <c r="H338" s="169"/>
      <c r="I338" s="169"/>
      <c r="J338" s="169"/>
      <c r="K338" s="169"/>
      <c r="L338" s="169"/>
      <c r="M338" s="169"/>
      <c r="N338" s="169"/>
      <c r="O338" s="169"/>
      <c r="P338" s="169"/>
      <c r="Q338" s="169"/>
      <c r="R338" s="169"/>
      <c r="S338" s="169"/>
      <c r="T338" s="169"/>
      <c r="U338" s="169"/>
      <c r="V338" s="169"/>
      <c r="W338" s="169"/>
      <c r="X338" s="169"/>
      <c r="Y338" s="169"/>
      <c r="Z338" s="169"/>
    </row>
    <row r="339" spans="1:26" ht="15" x14ac:dyDescent="0.2">
      <c r="A339" s="169"/>
      <c r="B339" s="169"/>
      <c r="C339" s="169"/>
      <c r="D339" s="169"/>
      <c r="E339" s="169"/>
      <c r="F339" s="169"/>
      <c r="G339" s="169"/>
      <c r="H339" s="169"/>
      <c r="I339" s="169"/>
      <c r="J339" s="169"/>
      <c r="K339" s="169"/>
      <c r="L339" s="169"/>
      <c r="M339" s="169"/>
      <c r="N339" s="169"/>
      <c r="O339" s="169"/>
      <c r="P339" s="169"/>
      <c r="Q339" s="169"/>
      <c r="R339" s="169"/>
      <c r="S339" s="169"/>
      <c r="T339" s="169"/>
      <c r="U339" s="169"/>
      <c r="V339" s="169"/>
      <c r="W339" s="169"/>
      <c r="X339" s="169"/>
      <c r="Y339" s="169"/>
      <c r="Z339" s="169"/>
    </row>
    <row r="340" spans="1:26" ht="15" x14ac:dyDescent="0.2">
      <c r="A340" s="169"/>
      <c r="B340" s="169"/>
      <c r="C340" s="169"/>
      <c r="D340" s="169"/>
      <c r="E340" s="169"/>
      <c r="F340" s="169"/>
      <c r="G340" s="169"/>
      <c r="H340" s="169"/>
      <c r="I340" s="169"/>
      <c r="J340" s="169"/>
      <c r="K340" s="169"/>
      <c r="L340" s="169"/>
      <c r="M340" s="169"/>
      <c r="N340" s="169"/>
      <c r="O340" s="169"/>
      <c r="P340" s="169"/>
      <c r="Q340" s="169"/>
      <c r="R340" s="169"/>
      <c r="S340" s="169"/>
      <c r="T340" s="169"/>
      <c r="U340" s="169"/>
      <c r="V340" s="169"/>
      <c r="W340" s="169"/>
      <c r="X340" s="169"/>
      <c r="Y340" s="169"/>
      <c r="Z340" s="169"/>
    </row>
    <row r="341" spans="1:26" ht="15" x14ac:dyDescent="0.2">
      <c r="A341" s="169"/>
      <c r="B341" s="169"/>
      <c r="C341" s="169"/>
      <c r="D341" s="169"/>
      <c r="E341" s="169"/>
      <c r="F341" s="169"/>
      <c r="G341" s="169"/>
      <c r="H341" s="169"/>
      <c r="I341" s="169"/>
      <c r="J341" s="169"/>
      <c r="K341" s="169"/>
      <c r="L341" s="169"/>
      <c r="M341" s="169"/>
      <c r="N341" s="169"/>
      <c r="O341" s="169"/>
      <c r="P341" s="169"/>
      <c r="Q341" s="169"/>
      <c r="R341" s="169"/>
      <c r="S341" s="169"/>
      <c r="T341" s="169"/>
      <c r="U341" s="169"/>
      <c r="V341" s="169"/>
      <c r="W341" s="169"/>
      <c r="X341" s="169"/>
      <c r="Y341" s="169"/>
      <c r="Z341" s="169"/>
    </row>
    <row r="342" spans="1:26" ht="15" x14ac:dyDescent="0.2">
      <c r="A342" s="169"/>
      <c r="B342" s="169"/>
      <c r="C342" s="169"/>
      <c r="D342" s="169"/>
      <c r="E342" s="169"/>
      <c r="F342" s="169"/>
      <c r="G342" s="169"/>
      <c r="H342" s="169"/>
      <c r="I342" s="169"/>
      <c r="J342" s="169"/>
      <c r="K342" s="169"/>
      <c r="L342" s="169"/>
      <c r="M342" s="169"/>
      <c r="N342" s="169"/>
      <c r="O342" s="169"/>
      <c r="P342" s="169"/>
      <c r="Q342" s="169"/>
      <c r="R342" s="169"/>
      <c r="S342" s="169"/>
      <c r="T342" s="169"/>
      <c r="U342" s="169"/>
      <c r="V342" s="169"/>
      <c r="W342" s="169"/>
      <c r="X342" s="169"/>
      <c r="Y342" s="169"/>
      <c r="Z342" s="169"/>
    </row>
    <row r="343" spans="1:26" ht="15" x14ac:dyDescent="0.2">
      <c r="A343" s="169"/>
      <c r="B343" s="169"/>
      <c r="C343" s="169"/>
      <c r="D343" s="169"/>
      <c r="E343" s="169"/>
      <c r="F343" s="169"/>
      <c r="G343" s="169"/>
      <c r="H343" s="169"/>
      <c r="I343" s="169"/>
      <c r="J343" s="169"/>
      <c r="K343" s="169"/>
      <c r="L343" s="169"/>
      <c r="M343" s="169"/>
      <c r="N343" s="169"/>
      <c r="O343" s="169"/>
      <c r="P343" s="169"/>
      <c r="Q343" s="169"/>
      <c r="R343" s="169"/>
      <c r="S343" s="169"/>
      <c r="T343" s="169"/>
      <c r="U343" s="169"/>
      <c r="V343" s="169"/>
      <c r="W343" s="169"/>
      <c r="X343" s="169"/>
      <c r="Y343" s="169"/>
      <c r="Z343" s="169"/>
    </row>
    <row r="344" spans="1:26" ht="15" x14ac:dyDescent="0.2">
      <c r="A344" s="169"/>
      <c r="B344" s="169"/>
      <c r="C344" s="169"/>
      <c r="D344" s="169"/>
      <c r="E344" s="169"/>
      <c r="F344" s="169"/>
      <c r="G344" s="169"/>
      <c r="H344" s="169"/>
      <c r="I344" s="169"/>
      <c r="J344" s="169"/>
      <c r="K344" s="169"/>
      <c r="L344" s="169"/>
      <c r="M344" s="169"/>
      <c r="N344" s="169"/>
      <c r="O344" s="169"/>
      <c r="P344" s="169"/>
      <c r="Q344" s="169"/>
      <c r="R344" s="169"/>
      <c r="S344" s="169"/>
      <c r="T344" s="169"/>
      <c r="U344" s="169"/>
      <c r="V344" s="169"/>
      <c r="W344" s="169"/>
      <c r="X344" s="169"/>
      <c r="Y344" s="169"/>
      <c r="Z344" s="169"/>
    </row>
    <row r="345" spans="1:26" ht="15" x14ac:dyDescent="0.2">
      <c r="A345" s="169"/>
      <c r="B345" s="169"/>
      <c r="C345" s="169"/>
      <c r="D345" s="169"/>
      <c r="E345" s="169"/>
      <c r="F345" s="169"/>
      <c r="G345" s="169"/>
      <c r="H345" s="169"/>
      <c r="I345" s="169"/>
      <c r="J345" s="169"/>
      <c r="K345" s="169"/>
      <c r="L345" s="169"/>
      <c r="M345" s="169"/>
      <c r="N345" s="169"/>
      <c r="O345" s="169"/>
      <c r="P345" s="169"/>
      <c r="Q345" s="169"/>
      <c r="R345" s="169"/>
      <c r="S345" s="169"/>
      <c r="T345" s="169"/>
      <c r="U345" s="169"/>
      <c r="V345" s="169"/>
      <c r="W345" s="169"/>
      <c r="X345" s="169"/>
      <c r="Y345" s="169"/>
      <c r="Z345" s="169"/>
    </row>
    <row r="346" spans="1:26" ht="15" x14ac:dyDescent="0.2">
      <c r="A346" s="169"/>
      <c r="B346" s="169"/>
      <c r="C346" s="169"/>
      <c r="D346" s="169"/>
      <c r="E346" s="169"/>
      <c r="F346" s="169"/>
      <c r="G346" s="169"/>
      <c r="H346" s="169"/>
      <c r="I346" s="169"/>
      <c r="J346" s="169"/>
      <c r="K346" s="169"/>
      <c r="L346" s="169"/>
      <c r="M346" s="169"/>
      <c r="N346" s="169"/>
      <c r="O346" s="169"/>
      <c r="P346" s="169"/>
      <c r="Q346" s="169"/>
      <c r="R346" s="169"/>
      <c r="S346" s="169"/>
      <c r="T346" s="169"/>
      <c r="U346" s="169"/>
      <c r="V346" s="169"/>
      <c r="W346" s="169"/>
      <c r="X346" s="169"/>
      <c r="Y346" s="169"/>
      <c r="Z346" s="169"/>
    </row>
    <row r="347" spans="1:26" ht="15" x14ac:dyDescent="0.2">
      <c r="A347" s="169"/>
      <c r="B347" s="169"/>
      <c r="C347" s="169"/>
      <c r="D347" s="169"/>
      <c r="E347" s="169"/>
      <c r="F347" s="169"/>
      <c r="G347" s="169"/>
      <c r="H347" s="169"/>
      <c r="I347" s="169"/>
      <c r="J347" s="169"/>
      <c r="K347" s="169"/>
      <c r="L347" s="169"/>
      <c r="M347" s="169"/>
      <c r="N347" s="169"/>
      <c r="O347" s="169"/>
      <c r="P347" s="169"/>
      <c r="Q347" s="169"/>
      <c r="R347" s="169"/>
      <c r="S347" s="169"/>
      <c r="T347" s="169"/>
      <c r="U347" s="169"/>
      <c r="V347" s="169"/>
      <c r="W347" s="169"/>
      <c r="X347" s="169"/>
      <c r="Y347" s="169"/>
      <c r="Z347" s="169"/>
    </row>
    <row r="348" spans="1:26" ht="15" x14ac:dyDescent="0.2">
      <c r="A348" s="169"/>
      <c r="B348" s="169"/>
      <c r="C348" s="169"/>
      <c r="D348" s="169"/>
      <c r="E348" s="169"/>
      <c r="F348" s="169"/>
      <c r="G348" s="169"/>
      <c r="H348" s="169"/>
      <c r="I348" s="169"/>
      <c r="J348" s="169"/>
      <c r="K348" s="169"/>
      <c r="L348" s="169"/>
      <c r="M348" s="169"/>
      <c r="N348" s="169"/>
      <c r="O348" s="169"/>
      <c r="P348" s="169"/>
      <c r="Q348" s="169"/>
      <c r="R348" s="169"/>
      <c r="S348" s="169"/>
      <c r="T348" s="169"/>
      <c r="U348" s="169"/>
      <c r="V348" s="169"/>
      <c r="W348" s="169"/>
      <c r="X348" s="169"/>
      <c r="Y348" s="169"/>
      <c r="Z348" s="169"/>
    </row>
    <row r="349" spans="1:26" ht="15" x14ac:dyDescent="0.2">
      <c r="A349" s="169"/>
      <c r="B349" s="169"/>
      <c r="C349" s="169"/>
      <c r="D349" s="169"/>
      <c r="E349" s="169"/>
      <c r="F349" s="169"/>
      <c r="G349" s="169"/>
      <c r="H349" s="169"/>
      <c r="I349" s="169"/>
      <c r="J349" s="169"/>
      <c r="K349" s="169"/>
      <c r="L349" s="169"/>
      <c r="M349" s="169"/>
      <c r="N349" s="169"/>
      <c r="O349" s="169"/>
      <c r="P349" s="169"/>
      <c r="Q349" s="169"/>
      <c r="R349" s="169"/>
      <c r="S349" s="169"/>
      <c r="T349" s="169"/>
      <c r="U349" s="169"/>
      <c r="V349" s="169"/>
      <c r="W349" s="169"/>
      <c r="X349" s="169"/>
      <c r="Y349" s="169"/>
      <c r="Z349" s="169"/>
    </row>
    <row r="350" spans="1:26" ht="15" x14ac:dyDescent="0.2">
      <c r="A350" s="169"/>
      <c r="B350" s="169"/>
      <c r="C350" s="169"/>
      <c r="D350" s="169"/>
      <c r="E350" s="169"/>
      <c r="F350" s="169"/>
      <c r="G350" s="169"/>
      <c r="H350" s="169"/>
      <c r="I350" s="169"/>
      <c r="J350" s="169"/>
      <c r="K350" s="169"/>
      <c r="L350" s="169"/>
      <c r="M350" s="169"/>
      <c r="N350" s="169"/>
      <c r="O350" s="169"/>
      <c r="P350" s="169"/>
      <c r="Q350" s="169"/>
      <c r="R350" s="169"/>
      <c r="S350" s="169"/>
      <c r="T350" s="169"/>
      <c r="U350" s="169"/>
      <c r="V350" s="169"/>
      <c r="W350" s="169"/>
      <c r="X350" s="169"/>
      <c r="Y350" s="169"/>
      <c r="Z350" s="169"/>
    </row>
    <row r="351" spans="1:26" ht="15" x14ac:dyDescent="0.2">
      <c r="A351" s="169"/>
      <c r="B351" s="169"/>
      <c r="C351" s="169"/>
      <c r="D351" s="169"/>
      <c r="E351" s="169"/>
      <c r="F351" s="169"/>
      <c r="G351" s="169"/>
      <c r="H351" s="169"/>
      <c r="I351" s="169"/>
      <c r="J351" s="169"/>
      <c r="K351" s="169"/>
      <c r="L351" s="169"/>
      <c r="M351" s="169"/>
      <c r="N351" s="169"/>
      <c r="O351" s="169"/>
      <c r="P351" s="169"/>
      <c r="Q351" s="169"/>
      <c r="R351" s="169"/>
      <c r="S351" s="169"/>
      <c r="T351" s="169"/>
      <c r="U351" s="169"/>
      <c r="V351" s="169"/>
      <c r="W351" s="169"/>
      <c r="X351" s="169"/>
      <c r="Y351" s="169"/>
      <c r="Z351" s="169"/>
    </row>
    <row r="352" spans="1:26" ht="15" x14ac:dyDescent="0.2">
      <c r="A352" s="169"/>
      <c r="B352" s="169"/>
      <c r="C352" s="169"/>
      <c r="D352" s="169"/>
      <c r="E352" s="169"/>
      <c r="F352" s="169"/>
      <c r="G352" s="169"/>
      <c r="H352" s="169"/>
      <c r="I352" s="169"/>
      <c r="J352" s="169"/>
      <c r="K352" s="169"/>
      <c r="L352" s="169"/>
      <c r="M352" s="169"/>
      <c r="N352" s="169"/>
      <c r="O352" s="169"/>
      <c r="P352" s="169"/>
      <c r="Q352" s="169"/>
      <c r="R352" s="169"/>
      <c r="S352" s="169"/>
      <c r="T352" s="169"/>
      <c r="U352" s="169"/>
      <c r="V352" s="169"/>
      <c r="W352" s="169"/>
      <c r="X352" s="169"/>
      <c r="Y352" s="169"/>
      <c r="Z352" s="169"/>
    </row>
    <row r="353" spans="1:26" ht="15" x14ac:dyDescent="0.2">
      <c r="A353" s="169"/>
      <c r="B353" s="169"/>
      <c r="C353" s="169"/>
      <c r="D353" s="169"/>
      <c r="E353" s="169"/>
      <c r="F353" s="169"/>
      <c r="G353" s="169"/>
      <c r="H353" s="169"/>
      <c r="I353" s="169"/>
      <c r="J353" s="169"/>
      <c r="K353" s="169"/>
      <c r="L353" s="169"/>
      <c r="M353" s="169"/>
      <c r="N353" s="169"/>
      <c r="O353" s="169"/>
      <c r="P353" s="169"/>
      <c r="Q353" s="169"/>
      <c r="R353" s="169"/>
      <c r="S353" s="169"/>
      <c r="T353" s="169"/>
      <c r="U353" s="169"/>
      <c r="V353" s="169"/>
      <c r="W353" s="169"/>
      <c r="X353" s="169"/>
      <c r="Y353" s="169"/>
      <c r="Z353" s="169"/>
    </row>
    <row r="354" spans="1:26" ht="15" x14ac:dyDescent="0.2">
      <c r="A354" s="169"/>
      <c r="B354" s="169"/>
      <c r="C354" s="169"/>
      <c r="D354" s="169"/>
      <c r="E354" s="169"/>
      <c r="F354" s="169"/>
      <c r="G354" s="169"/>
      <c r="H354" s="169"/>
      <c r="I354" s="169"/>
      <c r="J354" s="169"/>
      <c r="K354" s="169"/>
      <c r="L354" s="169"/>
      <c r="M354" s="169"/>
      <c r="N354" s="169"/>
      <c r="O354" s="169"/>
      <c r="P354" s="169"/>
      <c r="Q354" s="169"/>
      <c r="R354" s="169"/>
      <c r="S354" s="169"/>
      <c r="T354" s="169"/>
      <c r="U354" s="169"/>
      <c r="V354" s="169"/>
      <c r="W354" s="169"/>
      <c r="X354" s="169"/>
      <c r="Y354" s="169"/>
      <c r="Z354" s="169"/>
    </row>
    <row r="355" spans="1:26" ht="15" x14ac:dyDescent="0.2">
      <c r="A355" s="169"/>
      <c r="B355" s="169"/>
      <c r="C355" s="169"/>
      <c r="D355" s="169"/>
      <c r="E355" s="169"/>
      <c r="F355" s="169"/>
      <c r="G355" s="169"/>
      <c r="H355" s="169"/>
      <c r="I355" s="169"/>
      <c r="J355" s="169"/>
      <c r="K355" s="169"/>
      <c r="L355" s="169"/>
      <c r="M355" s="169"/>
      <c r="N355" s="169"/>
      <c r="O355" s="169"/>
      <c r="P355" s="169"/>
      <c r="Q355" s="169"/>
      <c r="R355" s="169"/>
      <c r="S355" s="169"/>
      <c r="T355" s="169"/>
      <c r="U355" s="169"/>
      <c r="V355" s="169"/>
      <c r="W355" s="169"/>
      <c r="X355" s="169"/>
      <c r="Y355" s="169"/>
      <c r="Z355" s="169"/>
    </row>
    <row r="356" spans="1:26" ht="15" x14ac:dyDescent="0.2">
      <c r="A356" s="169"/>
      <c r="B356" s="169"/>
      <c r="C356" s="169"/>
      <c r="D356" s="169"/>
      <c r="E356" s="169"/>
      <c r="F356" s="169"/>
      <c r="G356" s="169"/>
      <c r="H356" s="169"/>
      <c r="I356" s="169"/>
      <c r="J356" s="169"/>
      <c r="K356" s="169"/>
      <c r="L356" s="169"/>
      <c r="M356" s="169"/>
      <c r="N356" s="169"/>
      <c r="O356" s="169"/>
      <c r="P356" s="169"/>
      <c r="Q356" s="169"/>
      <c r="R356" s="169"/>
      <c r="S356" s="169"/>
      <c r="T356" s="169"/>
      <c r="U356" s="169"/>
      <c r="V356" s="169"/>
      <c r="W356" s="169"/>
      <c r="X356" s="169"/>
      <c r="Y356" s="169"/>
      <c r="Z356" s="169"/>
    </row>
    <row r="357" spans="1:26" ht="15" x14ac:dyDescent="0.2">
      <c r="A357" s="169"/>
      <c r="B357" s="169"/>
      <c r="C357" s="169"/>
      <c r="D357" s="169"/>
      <c r="E357" s="169"/>
      <c r="F357" s="169"/>
      <c r="G357" s="169"/>
      <c r="H357" s="169"/>
      <c r="I357" s="169"/>
      <c r="J357" s="169"/>
      <c r="K357" s="169"/>
      <c r="L357" s="169"/>
      <c r="M357" s="169"/>
      <c r="N357" s="169"/>
      <c r="O357" s="169"/>
      <c r="P357" s="169"/>
      <c r="Q357" s="169"/>
      <c r="R357" s="169"/>
      <c r="S357" s="169"/>
      <c r="T357" s="169"/>
      <c r="U357" s="169"/>
      <c r="V357" s="169"/>
      <c r="W357" s="169"/>
      <c r="X357" s="169"/>
      <c r="Y357" s="169"/>
      <c r="Z357" s="169"/>
    </row>
    <row r="358" spans="1:26" ht="15" x14ac:dyDescent="0.2">
      <c r="A358" s="169"/>
      <c r="B358" s="169"/>
      <c r="C358" s="169"/>
      <c r="D358" s="169"/>
      <c r="E358" s="169"/>
      <c r="F358" s="169"/>
      <c r="G358" s="169"/>
      <c r="H358" s="169"/>
      <c r="I358" s="169"/>
      <c r="J358" s="169"/>
      <c r="K358" s="169"/>
      <c r="L358" s="169"/>
      <c r="M358" s="169"/>
      <c r="N358" s="169"/>
      <c r="O358" s="169"/>
      <c r="P358" s="169"/>
      <c r="Q358" s="169"/>
      <c r="R358" s="169"/>
      <c r="S358" s="169"/>
      <c r="T358" s="169"/>
      <c r="U358" s="169"/>
      <c r="V358" s="169"/>
      <c r="W358" s="169"/>
      <c r="X358" s="169"/>
      <c r="Y358" s="169"/>
      <c r="Z358" s="169"/>
    </row>
    <row r="359" spans="1:26" ht="15" x14ac:dyDescent="0.2">
      <c r="A359" s="169"/>
      <c r="B359" s="169"/>
      <c r="C359" s="169"/>
      <c r="D359" s="169"/>
      <c r="E359" s="169"/>
      <c r="F359" s="169"/>
      <c r="G359" s="169"/>
      <c r="H359" s="169"/>
      <c r="I359" s="169"/>
      <c r="J359" s="169"/>
      <c r="K359" s="169"/>
      <c r="L359" s="169"/>
      <c r="M359" s="169"/>
      <c r="N359" s="169"/>
      <c r="O359" s="169"/>
      <c r="P359" s="169"/>
      <c r="Q359" s="169"/>
      <c r="R359" s="169"/>
      <c r="S359" s="169"/>
      <c r="T359" s="169"/>
      <c r="U359" s="169"/>
      <c r="V359" s="169"/>
      <c r="W359" s="169"/>
      <c r="X359" s="169"/>
      <c r="Y359" s="169"/>
      <c r="Z359" s="169"/>
    </row>
    <row r="360" spans="1:26" ht="15" x14ac:dyDescent="0.2">
      <c r="A360" s="169"/>
      <c r="B360" s="169"/>
      <c r="C360" s="169"/>
      <c r="D360" s="169"/>
      <c r="E360" s="169"/>
      <c r="F360" s="169"/>
      <c r="G360" s="169"/>
      <c r="H360" s="169"/>
      <c r="I360" s="169"/>
      <c r="J360" s="169"/>
      <c r="K360" s="169"/>
      <c r="L360" s="169"/>
      <c r="M360" s="169"/>
      <c r="N360" s="169"/>
      <c r="O360" s="169"/>
      <c r="P360" s="169"/>
      <c r="Q360" s="169"/>
      <c r="R360" s="169"/>
      <c r="S360" s="169"/>
      <c r="T360" s="169"/>
      <c r="U360" s="169"/>
      <c r="V360" s="169"/>
      <c r="W360" s="169"/>
      <c r="X360" s="169"/>
      <c r="Y360" s="169"/>
      <c r="Z360" s="169"/>
    </row>
    <row r="361" spans="1:26" ht="15" x14ac:dyDescent="0.2">
      <c r="A361" s="169"/>
      <c r="B361" s="169"/>
      <c r="C361" s="169"/>
      <c r="D361" s="169"/>
      <c r="E361" s="169"/>
      <c r="F361" s="169"/>
      <c r="G361" s="169"/>
      <c r="H361" s="169"/>
      <c r="I361" s="169"/>
      <c r="J361" s="169"/>
      <c r="K361" s="169"/>
      <c r="L361" s="169"/>
      <c r="M361" s="169"/>
      <c r="N361" s="169"/>
      <c r="O361" s="169"/>
      <c r="P361" s="169"/>
      <c r="Q361" s="169"/>
      <c r="R361" s="169"/>
      <c r="S361" s="169"/>
      <c r="T361" s="169"/>
      <c r="U361" s="169"/>
      <c r="V361" s="169"/>
      <c r="W361" s="169"/>
      <c r="X361" s="169"/>
      <c r="Y361" s="169"/>
      <c r="Z361" s="169"/>
    </row>
    <row r="362" spans="1:26" ht="15" x14ac:dyDescent="0.2">
      <c r="A362" s="169"/>
      <c r="B362" s="169"/>
      <c r="C362" s="169"/>
      <c r="D362" s="169"/>
      <c r="E362" s="169"/>
      <c r="F362" s="169"/>
      <c r="G362" s="169"/>
      <c r="H362" s="169"/>
      <c r="I362" s="169"/>
      <c r="J362" s="169"/>
      <c r="K362" s="169"/>
      <c r="L362" s="169"/>
      <c r="M362" s="169"/>
      <c r="N362" s="169"/>
      <c r="O362" s="169"/>
      <c r="P362" s="169"/>
      <c r="Q362" s="169"/>
      <c r="R362" s="169"/>
      <c r="S362" s="169"/>
      <c r="T362" s="169"/>
      <c r="U362" s="169"/>
      <c r="V362" s="169"/>
      <c r="W362" s="169"/>
      <c r="X362" s="169"/>
      <c r="Y362" s="169"/>
      <c r="Z362" s="169"/>
    </row>
    <row r="363" spans="1:26" ht="15" x14ac:dyDescent="0.2">
      <c r="A363" s="169"/>
      <c r="B363" s="169"/>
      <c r="C363" s="169"/>
      <c r="D363" s="169"/>
      <c r="E363" s="169"/>
      <c r="F363" s="169"/>
      <c r="G363" s="169"/>
      <c r="H363" s="169"/>
      <c r="I363" s="169"/>
      <c r="J363" s="169"/>
      <c r="K363" s="169"/>
      <c r="L363" s="169"/>
      <c r="M363" s="169"/>
      <c r="N363" s="169"/>
      <c r="O363" s="169"/>
      <c r="P363" s="169"/>
      <c r="Q363" s="169"/>
      <c r="R363" s="169"/>
      <c r="S363" s="169"/>
      <c r="T363" s="169"/>
      <c r="U363" s="169"/>
      <c r="V363" s="169"/>
      <c r="W363" s="169"/>
      <c r="X363" s="169"/>
      <c r="Y363" s="169"/>
      <c r="Z363" s="169"/>
    </row>
    <row r="364" spans="1:26" ht="15" x14ac:dyDescent="0.2">
      <c r="A364" s="169"/>
      <c r="B364" s="169"/>
      <c r="C364" s="169"/>
      <c r="D364" s="169"/>
      <c r="E364" s="169"/>
      <c r="F364" s="169"/>
      <c r="G364" s="169"/>
      <c r="H364" s="169"/>
      <c r="I364" s="169"/>
      <c r="J364" s="169"/>
      <c r="K364" s="169"/>
      <c r="L364" s="169"/>
      <c r="M364" s="169"/>
      <c r="N364" s="169"/>
      <c r="O364" s="169"/>
      <c r="P364" s="169"/>
      <c r="Q364" s="169"/>
      <c r="R364" s="169"/>
      <c r="S364" s="169"/>
      <c r="T364" s="169"/>
      <c r="U364" s="169"/>
      <c r="V364" s="169"/>
      <c r="W364" s="169"/>
      <c r="X364" s="169"/>
      <c r="Y364" s="169"/>
      <c r="Z364" s="169"/>
    </row>
    <row r="365" spans="1:26" ht="15" x14ac:dyDescent="0.2">
      <c r="A365" s="169"/>
      <c r="B365" s="169"/>
      <c r="C365" s="169"/>
      <c r="D365" s="169"/>
      <c r="E365" s="169"/>
      <c r="F365" s="169"/>
      <c r="G365" s="169"/>
      <c r="H365" s="169"/>
      <c r="I365" s="169"/>
      <c r="J365" s="169"/>
      <c r="K365" s="169"/>
      <c r="L365" s="169"/>
      <c r="M365" s="169"/>
      <c r="N365" s="169"/>
      <c r="O365" s="169"/>
      <c r="P365" s="169"/>
      <c r="Q365" s="169"/>
      <c r="R365" s="169"/>
      <c r="S365" s="169"/>
      <c r="T365" s="169"/>
      <c r="U365" s="169"/>
      <c r="V365" s="169"/>
      <c r="W365" s="169"/>
      <c r="X365" s="169"/>
      <c r="Y365" s="169"/>
      <c r="Z365" s="169"/>
    </row>
    <row r="366" spans="1:26" ht="15" x14ac:dyDescent="0.2">
      <c r="A366" s="169"/>
      <c r="B366" s="169"/>
      <c r="C366" s="169"/>
      <c r="D366" s="169"/>
      <c r="E366" s="169"/>
      <c r="F366" s="169"/>
      <c r="G366" s="169"/>
      <c r="H366" s="169"/>
      <c r="I366" s="169"/>
      <c r="J366" s="169"/>
      <c r="K366" s="169"/>
      <c r="L366" s="169"/>
      <c r="M366" s="169"/>
      <c r="N366" s="169"/>
      <c r="O366" s="169"/>
      <c r="P366" s="169"/>
      <c r="Q366" s="169"/>
      <c r="R366" s="169"/>
      <c r="S366" s="169"/>
      <c r="T366" s="169"/>
      <c r="U366" s="169"/>
      <c r="V366" s="169"/>
      <c r="W366" s="169"/>
      <c r="X366" s="169"/>
      <c r="Y366" s="169"/>
      <c r="Z366" s="169"/>
    </row>
    <row r="367" spans="1:26" ht="15" x14ac:dyDescent="0.2">
      <c r="A367" s="169"/>
      <c r="B367" s="169"/>
      <c r="C367" s="169"/>
      <c r="D367" s="169"/>
      <c r="E367" s="169"/>
      <c r="F367" s="169"/>
      <c r="G367" s="169"/>
      <c r="H367" s="169"/>
      <c r="I367" s="169"/>
      <c r="J367" s="169"/>
      <c r="K367" s="169"/>
      <c r="L367" s="169"/>
      <c r="M367" s="169"/>
      <c r="N367" s="169"/>
      <c r="O367" s="169"/>
      <c r="P367" s="169"/>
      <c r="Q367" s="169"/>
      <c r="R367" s="169"/>
      <c r="S367" s="169"/>
      <c r="T367" s="169"/>
      <c r="U367" s="169"/>
      <c r="V367" s="169"/>
      <c r="W367" s="169"/>
      <c r="X367" s="169"/>
      <c r="Y367" s="169"/>
      <c r="Z367" s="169"/>
    </row>
    <row r="368" spans="1:26" ht="15" x14ac:dyDescent="0.2">
      <c r="A368" s="169"/>
      <c r="B368" s="169"/>
      <c r="C368" s="169"/>
      <c r="D368" s="169"/>
      <c r="E368" s="169"/>
      <c r="F368" s="169"/>
      <c r="G368" s="169"/>
      <c r="H368" s="169"/>
      <c r="I368" s="169"/>
      <c r="J368" s="169"/>
      <c r="K368" s="169"/>
      <c r="L368" s="169"/>
      <c r="M368" s="169"/>
      <c r="N368" s="169"/>
      <c r="O368" s="169"/>
      <c r="P368" s="169"/>
      <c r="Q368" s="169"/>
      <c r="R368" s="169"/>
      <c r="S368" s="169"/>
      <c r="T368" s="169"/>
      <c r="U368" s="169"/>
      <c r="V368" s="169"/>
      <c r="W368" s="169"/>
      <c r="X368" s="169"/>
      <c r="Y368" s="169"/>
      <c r="Z368" s="169"/>
    </row>
    <row r="369" spans="1:26" ht="15" x14ac:dyDescent="0.2">
      <c r="A369" s="169"/>
      <c r="B369" s="169"/>
      <c r="C369" s="169"/>
      <c r="D369" s="169"/>
      <c r="E369" s="169"/>
      <c r="F369" s="169"/>
      <c r="G369" s="169"/>
      <c r="H369" s="169"/>
      <c r="I369" s="169"/>
      <c r="J369" s="169"/>
      <c r="K369" s="169"/>
      <c r="L369" s="169"/>
      <c r="M369" s="169"/>
      <c r="N369" s="169"/>
      <c r="O369" s="169"/>
      <c r="P369" s="169"/>
      <c r="Q369" s="169"/>
      <c r="R369" s="169"/>
      <c r="S369" s="169"/>
      <c r="T369" s="169"/>
      <c r="U369" s="169"/>
      <c r="V369" s="169"/>
      <c r="W369" s="169"/>
      <c r="X369" s="169"/>
      <c r="Y369" s="169"/>
      <c r="Z369" s="169"/>
    </row>
    <row r="370" spans="1:26" ht="15" x14ac:dyDescent="0.2">
      <c r="A370" s="169"/>
      <c r="B370" s="169"/>
      <c r="C370" s="169"/>
      <c r="D370" s="169"/>
      <c r="E370" s="169"/>
      <c r="F370" s="169"/>
      <c r="G370" s="169"/>
      <c r="H370" s="169"/>
      <c r="I370" s="169"/>
      <c r="J370" s="169"/>
      <c r="K370" s="169"/>
      <c r="L370" s="169"/>
      <c r="M370" s="169"/>
      <c r="N370" s="169"/>
      <c r="O370" s="169"/>
      <c r="P370" s="169"/>
      <c r="Q370" s="169"/>
      <c r="R370" s="169"/>
      <c r="S370" s="169"/>
      <c r="T370" s="169"/>
      <c r="U370" s="169"/>
      <c r="V370" s="169"/>
      <c r="W370" s="169"/>
      <c r="X370" s="169"/>
      <c r="Y370" s="169"/>
      <c r="Z370" s="169"/>
    </row>
    <row r="371" spans="1:26" ht="15" x14ac:dyDescent="0.2">
      <c r="A371" s="169"/>
      <c r="B371" s="169"/>
      <c r="C371" s="169"/>
      <c r="D371" s="169"/>
      <c r="E371" s="169"/>
      <c r="F371" s="169"/>
      <c r="G371" s="169"/>
      <c r="H371" s="169"/>
      <c r="I371" s="169"/>
      <c r="J371" s="169"/>
      <c r="K371" s="169"/>
      <c r="L371" s="169"/>
      <c r="M371" s="169"/>
      <c r="N371" s="169"/>
      <c r="O371" s="169"/>
      <c r="P371" s="169"/>
      <c r="Q371" s="169"/>
      <c r="R371" s="169"/>
      <c r="S371" s="169"/>
      <c r="T371" s="169"/>
      <c r="U371" s="169"/>
      <c r="V371" s="169"/>
      <c r="W371" s="169"/>
      <c r="X371" s="169"/>
      <c r="Y371" s="169"/>
      <c r="Z371" s="169"/>
    </row>
    <row r="372" spans="1:26" ht="15" x14ac:dyDescent="0.2">
      <c r="A372" s="169"/>
      <c r="B372" s="169"/>
      <c r="C372" s="169"/>
      <c r="D372" s="169"/>
      <c r="E372" s="169"/>
      <c r="F372" s="169"/>
      <c r="G372" s="169"/>
      <c r="H372" s="169"/>
      <c r="I372" s="169"/>
      <c r="J372" s="169"/>
      <c r="K372" s="169"/>
      <c r="L372" s="169"/>
      <c r="M372" s="169"/>
      <c r="N372" s="169"/>
      <c r="O372" s="169"/>
      <c r="P372" s="169"/>
      <c r="Q372" s="169"/>
      <c r="R372" s="169"/>
      <c r="S372" s="169"/>
      <c r="T372" s="169"/>
      <c r="U372" s="169"/>
      <c r="V372" s="169"/>
      <c r="W372" s="169"/>
      <c r="X372" s="169"/>
      <c r="Y372" s="169"/>
      <c r="Z372" s="169"/>
    </row>
    <row r="373" spans="1:26" ht="15" x14ac:dyDescent="0.2">
      <c r="A373" s="169"/>
      <c r="B373" s="169"/>
      <c r="C373" s="169"/>
      <c r="D373" s="169"/>
      <c r="E373" s="169"/>
      <c r="F373" s="169"/>
      <c r="G373" s="169"/>
      <c r="H373" s="169"/>
      <c r="I373" s="169"/>
      <c r="J373" s="169"/>
      <c r="K373" s="169"/>
      <c r="L373" s="169"/>
      <c r="M373" s="169"/>
      <c r="N373" s="169"/>
      <c r="O373" s="169"/>
      <c r="P373" s="169"/>
      <c r="Q373" s="169"/>
      <c r="R373" s="169"/>
      <c r="S373" s="169"/>
      <c r="T373" s="169"/>
      <c r="U373" s="169"/>
      <c r="V373" s="169"/>
      <c r="W373" s="169"/>
      <c r="X373" s="169"/>
      <c r="Y373" s="169"/>
      <c r="Z373" s="169"/>
    </row>
    <row r="374" spans="1:26" ht="15" x14ac:dyDescent="0.2">
      <c r="A374" s="169"/>
      <c r="B374" s="169"/>
      <c r="C374" s="169"/>
      <c r="D374" s="169"/>
      <c r="E374" s="169"/>
      <c r="F374" s="169"/>
      <c r="G374" s="169"/>
      <c r="H374" s="169"/>
      <c r="I374" s="169"/>
      <c r="J374" s="169"/>
      <c r="K374" s="169"/>
      <c r="L374" s="169"/>
      <c r="M374" s="169"/>
      <c r="N374" s="169"/>
      <c r="O374" s="169"/>
      <c r="P374" s="169"/>
      <c r="Q374" s="169"/>
      <c r="R374" s="169"/>
      <c r="S374" s="169"/>
      <c r="T374" s="169"/>
      <c r="U374" s="169"/>
      <c r="V374" s="169"/>
      <c r="W374" s="169"/>
      <c r="X374" s="169"/>
      <c r="Y374" s="169"/>
      <c r="Z374" s="169"/>
    </row>
    <row r="375" spans="1:26" ht="15" x14ac:dyDescent="0.2">
      <c r="A375" s="169"/>
      <c r="B375" s="169"/>
      <c r="C375" s="169"/>
      <c r="D375" s="169"/>
      <c r="E375" s="169"/>
      <c r="F375" s="169"/>
      <c r="G375" s="169"/>
      <c r="H375" s="169"/>
      <c r="I375" s="169"/>
      <c r="J375" s="169"/>
      <c r="K375" s="169"/>
      <c r="L375" s="169"/>
      <c r="M375" s="169"/>
      <c r="N375" s="169"/>
      <c r="O375" s="169"/>
      <c r="P375" s="169"/>
      <c r="Q375" s="169"/>
      <c r="R375" s="169"/>
      <c r="S375" s="169"/>
      <c r="T375" s="169"/>
      <c r="U375" s="169"/>
      <c r="V375" s="169"/>
      <c r="W375" s="169"/>
      <c r="X375" s="169"/>
      <c r="Y375" s="169"/>
      <c r="Z375" s="169"/>
    </row>
    <row r="376" spans="1:26" ht="15" x14ac:dyDescent="0.2">
      <c r="A376" s="169"/>
      <c r="B376" s="169"/>
      <c r="C376" s="169"/>
      <c r="D376" s="169"/>
      <c r="E376" s="169"/>
      <c r="F376" s="169"/>
      <c r="G376" s="169"/>
      <c r="H376" s="169"/>
      <c r="I376" s="169"/>
      <c r="J376" s="169"/>
      <c r="K376" s="169"/>
      <c r="L376" s="169"/>
      <c r="M376" s="169"/>
      <c r="N376" s="169"/>
      <c r="O376" s="169"/>
      <c r="P376" s="169"/>
      <c r="Q376" s="169"/>
      <c r="R376" s="169"/>
      <c r="S376" s="169"/>
      <c r="T376" s="169"/>
      <c r="U376" s="169"/>
      <c r="V376" s="169"/>
      <c r="W376" s="169"/>
      <c r="X376" s="169"/>
      <c r="Y376" s="169"/>
      <c r="Z376" s="169"/>
    </row>
    <row r="377" spans="1:26" ht="15" x14ac:dyDescent="0.2">
      <c r="A377" s="169"/>
      <c r="B377" s="169"/>
      <c r="C377" s="169"/>
      <c r="D377" s="169"/>
      <c r="E377" s="169"/>
      <c r="F377" s="169"/>
      <c r="G377" s="169"/>
      <c r="H377" s="169"/>
      <c r="I377" s="169"/>
      <c r="J377" s="169"/>
      <c r="K377" s="169"/>
      <c r="L377" s="169"/>
      <c r="M377" s="169"/>
      <c r="N377" s="169"/>
      <c r="O377" s="169"/>
      <c r="P377" s="169"/>
      <c r="Q377" s="169"/>
      <c r="R377" s="169"/>
      <c r="S377" s="169"/>
      <c r="T377" s="169"/>
      <c r="U377" s="169"/>
      <c r="V377" s="169"/>
      <c r="W377" s="169"/>
      <c r="X377" s="169"/>
      <c r="Y377" s="169"/>
      <c r="Z377" s="169"/>
    </row>
    <row r="378" spans="1:26" ht="15" x14ac:dyDescent="0.2">
      <c r="A378" s="169"/>
      <c r="B378" s="169"/>
      <c r="C378" s="169"/>
      <c r="D378" s="169"/>
      <c r="E378" s="169"/>
      <c r="F378" s="169"/>
      <c r="G378" s="169"/>
      <c r="H378" s="169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W378" s="169"/>
      <c r="X378" s="169"/>
      <c r="Y378" s="169"/>
      <c r="Z378" s="169"/>
    </row>
    <row r="379" spans="1:26" ht="15" x14ac:dyDescent="0.2">
      <c r="A379" s="169"/>
      <c r="B379" s="169"/>
      <c r="C379" s="169"/>
      <c r="D379" s="169"/>
      <c r="E379" s="169"/>
      <c r="F379" s="169"/>
      <c r="G379" s="169"/>
      <c r="H379" s="169"/>
      <c r="I379" s="169"/>
      <c r="J379" s="169"/>
      <c r="K379" s="169"/>
      <c r="L379" s="169"/>
      <c r="M379" s="169"/>
      <c r="N379" s="169"/>
      <c r="O379" s="169"/>
      <c r="P379" s="169"/>
      <c r="Q379" s="169"/>
      <c r="R379" s="169"/>
      <c r="S379" s="169"/>
      <c r="T379" s="169"/>
      <c r="U379" s="169"/>
      <c r="V379" s="169"/>
      <c r="W379" s="169"/>
      <c r="X379" s="169"/>
      <c r="Y379" s="169"/>
      <c r="Z379" s="169"/>
    </row>
    <row r="380" spans="1:26" ht="15" x14ac:dyDescent="0.2">
      <c r="A380" s="169"/>
      <c r="B380" s="169"/>
      <c r="C380" s="169"/>
      <c r="D380" s="169"/>
      <c r="E380" s="169"/>
      <c r="F380" s="169"/>
      <c r="G380" s="169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W380" s="169"/>
      <c r="X380" s="169"/>
      <c r="Y380" s="169"/>
      <c r="Z380" s="169"/>
    </row>
    <row r="381" spans="1:26" ht="15" x14ac:dyDescent="0.2">
      <c r="A381" s="169"/>
      <c r="B381" s="169"/>
      <c r="C381" s="169"/>
      <c r="D381" s="169"/>
      <c r="E381" s="169"/>
      <c r="F381" s="169"/>
      <c r="G381" s="169"/>
      <c r="H381" s="169"/>
      <c r="I381" s="169"/>
      <c r="J381" s="169"/>
      <c r="K381" s="169"/>
      <c r="L381" s="169"/>
      <c r="M381" s="169"/>
      <c r="N381" s="169"/>
      <c r="O381" s="169"/>
      <c r="P381" s="169"/>
      <c r="Q381" s="169"/>
      <c r="R381" s="169"/>
      <c r="S381" s="169"/>
      <c r="T381" s="169"/>
      <c r="U381" s="169"/>
      <c r="V381" s="169"/>
      <c r="W381" s="169"/>
      <c r="X381" s="169"/>
      <c r="Y381" s="169"/>
      <c r="Z381" s="169"/>
    </row>
    <row r="382" spans="1:26" ht="15" x14ac:dyDescent="0.2">
      <c r="A382" s="169"/>
      <c r="B382" s="169"/>
      <c r="C382" s="169"/>
      <c r="D382" s="169"/>
      <c r="E382" s="169"/>
      <c r="F382" s="169"/>
      <c r="G382" s="169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W382" s="169"/>
      <c r="X382" s="169"/>
      <c r="Y382" s="169"/>
      <c r="Z382" s="169"/>
    </row>
    <row r="383" spans="1:26" ht="15" x14ac:dyDescent="0.2">
      <c r="A383" s="169"/>
      <c r="B383" s="169"/>
      <c r="C383" s="169"/>
      <c r="D383" s="169"/>
      <c r="E383" s="169"/>
      <c r="F383" s="169"/>
      <c r="G383" s="169"/>
      <c r="H383" s="169"/>
      <c r="I383" s="169"/>
      <c r="J383" s="169"/>
      <c r="K383" s="169"/>
      <c r="L383" s="169"/>
      <c r="M383" s="169"/>
      <c r="N383" s="169"/>
      <c r="O383" s="169"/>
      <c r="P383" s="169"/>
      <c r="Q383" s="169"/>
      <c r="R383" s="169"/>
      <c r="S383" s="169"/>
      <c r="T383" s="169"/>
      <c r="U383" s="169"/>
      <c r="V383" s="169"/>
      <c r="W383" s="169"/>
      <c r="X383" s="169"/>
      <c r="Y383" s="169"/>
      <c r="Z383" s="169"/>
    </row>
    <row r="384" spans="1:26" ht="15" x14ac:dyDescent="0.2">
      <c r="A384" s="169"/>
      <c r="B384" s="169"/>
      <c r="C384" s="169"/>
      <c r="D384" s="169"/>
      <c r="E384" s="169"/>
      <c r="F384" s="169"/>
      <c r="G384" s="169"/>
      <c r="H384" s="169"/>
      <c r="I384" s="169"/>
      <c r="J384" s="169"/>
      <c r="K384" s="169"/>
      <c r="L384" s="169"/>
      <c r="M384" s="169"/>
      <c r="N384" s="169"/>
      <c r="O384" s="169"/>
      <c r="P384" s="169"/>
      <c r="Q384" s="169"/>
      <c r="R384" s="169"/>
      <c r="S384" s="169"/>
      <c r="T384" s="169"/>
      <c r="U384" s="169"/>
      <c r="V384" s="169"/>
      <c r="W384" s="169"/>
      <c r="X384" s="169"/>
      <c r="Y384" s="169"/>
      <c r="Z384" s="169"/>
    </row>
    <row r="385" spans="1:26" ht="15" x14ac:dyDescent="0.2">
      <c r="A385" s="169"/>
      <c r="B385" s="169"/>
      <c r="C385" s="169"/>
      <c r="D385" s="169"/>
      <c r="E385" s="169"/>
      <c r="F385" s="169"/>
      <c r="G385" s="169"/>
      <c r="H385" s="169"/>
      <c r="I385" s="169"/>
      <c r="J385" s="169"/>
      <c r="K385" s="169"/>
      <c r="L385" s="169"/>
      <c r="M385" s="169"/>
      <c r="N385" s="169"/>
      <c r="O385" s="169"/>
      <c r="P385" s="169"/>
      <c r="Q385" s="169"/>
      <c r="R385" s="169"/>
      <c r="S385" s="169"/>
      <c r="T385" s="169"/>
      <c r="U385" s="169"/>
      <c r="V385" s="169"/>
      <c r="W385" s="169"/>
      <c r="X385" s="169"/>
      <c r="Y385" s="169"/>
      <c r="Z385" s="169"/>
    </row>
    <row r="386" spans="1:26" ht="15" x14ac:dyDescent="0.2">
      <c r="A386" s="169"/>
      <c r="B386" s="169"/>
      <c r="C386" s="169"/>
      <c r="D386" s="169"/>
      <c r="E386" s="169"/>
      <c r="F386" s="169"/>
      <c r="G386" s="169"/>
      <c r="H386" s="169"/>
      <c r="I386" s="169"/>
      <c r="J386" s="169"/>
      <c r="K386" s="169"/>
      <c r="L386" s="169"/>
      <c r="M386" s="169"/>
      <c r="N386" s="169"/>
      <c r="O386" s="169"/>
      <c r="P386" s="169"/>
      <c r="Q386" s="169"/>
      <c r="R386" s="169"/>
      <c r="S386" s="169"/>
      <c r="T386" s="169"/>
      <c r="U386" s="169"/>
      <c r="V386" s="169"/>
      <c r="W386" s="169"/>
      <c r="X386" s="169"/>
      <c r="Y386" s="169"/>
      <c r="Z386" s="169"/>
    </row>
    <row r="387" spans="1:26" ht="15" x14ac:dyDescent="0.2">
      <c r="A387" s="169"/>
      <c r="B387" s="169"/>
      <c r="C387" s="169"/>
      <c r="D387" s="169"/>
      <c r="E387" s="169"/>
      <c r="F387" s="169"/>
      <c r="G387" s="169"/>
      <c r="H387" s="169"/>
      <c r="I387" s="169"/>
      <c r="J387" s="169"/>
      <c r="K387" s="169"/>
      <c r="L387" s="169"/>
      <c r="M387" s="169"/>
      <c r="N387" s="169"/>
      <c r="O387" s="169"/>
      <c r="P387" s="169"/>
      <c r="Q387" s="169"/>
      <c r="R387" s="169"/>
      <c r="S387" s="169"/>
      <c r="T387" s="169"/>
      <c r="U387" s="169"/>
      <c r="V387" s="169"/>
      <c r="W387" s="169"/>
      <c r="X387" s="169"/>
      <c r="Y387" s="169"/>
      <c r="Z387" s="169"/>
    </row>
    <row r="388" spans="1:26" ht="15" x14ac:dyDescent="0.2">
      <c r="A388" s="169"/>
      <c r="B388" s="169"/>
      <c r="C388" s="169"/>
      <c r="D388" s="169"/>
      <c r="E388" s="169"/>
      <c r="F388" s="169"/>
      <c r="G388" s="169"/>
      <c r="H388" s="169"/>
      <c r="I388" s="169"/>
      <c r="J388" s="169"/>
      <c r="K388" s="169"/>
      <c r="L388" s="169"/>
      <c r="M388" s="169"/>
      <c r="N388" s="169"/>
      <c r="O388" s="169"/>
      <c r="P388" s="169"/>
      <c r="Q388" s="169"/>
      <c r="R388" s="169"/>
      <c r="S388" s="169"/>
      <c r="T388" s="169"/>
      <c r="U388" s="169"/>
      <c r="V388" s="169"/>
      <c r="W388" s="169"/>
      <c r="X388" s="169"/>
      <c r="Y388" s="169"/>
      <c r="Z388" s="169"/>
    </row>
    <row r="389" spans="1:26" ht="15" x14ac:dyDescent="0.2">
      <c r="A389" s="169"/>
      <c r="B389" s="169"/>
      <c r="C389" s="169"/>
      <c r="D389" s="169"/>
      <c r="E389" s="169"/>
      <c r="F389" s="169"/>
      <c r="G389" s="169"/>
      <c r="H389" s="169"/>
      <c r="I389" s="169"/>
      <c r="J389" s="169"/>
      <c r="K389" s="169"/>
      <c r="L389" s="169"/>
      <c r="M389" s="169"/>
      <c r="N389" s="169"/>
      <c r="O389" s="169"/>
      <c r="P389" s="169"/>
      <c r="Q389" s="169"/>
      <c r="R389" s="169"/>
      <c r="S389" s="169"/>
      <c r="T389" s="169"/>
      <c r="U389" s="169"/>
      <c r="V389" s="169"/>
      <c r="W389" s="169"/>
      <c r="X389" s="169"/>
      <c r="Y389" s="169"/>
      <c r="Z389" s="169"/>
    </row>
    <row r="390" spans="1:26" ht="15" x14ac:dyDescent="0.2">
      <c r="A390" s="169"/>
      <c r="B390" s="169"/>
      <c r="C390" s="169"/>
      <c r="D390" s="169"/>
      <c r="E390" s="169"/>
      <c r="F390" s="169"/>
      <c r="G390" s="169"/>
      <c r="H390" s="169"/>
      <c r="I390" s="169"/>
      <c r="J390" s="169"/>
      <c r="K390" s="169"/>
      <c r="L390" s="169"/>
      <c r="M390" s="169"/>
      <c r="N390" s="169"/>
      <c r="O390" s="169"/>
      <c r="P390" s="169"/>
      <c r="Q390" s="169"/>
      <c r="R390" s="169"/>
      <c r="S390" s="169"/>
      <c r="T390" s="169"/>
      <c r="U390" s="169"/>
      <c r="V390" s="169"/>
      <c r="W390" s="169"/>
      <c r="X390" s="169"/>
      <c r="Y390" s="169"/>
      <c r="Z390" s="169"/>
    </row>
    <row r="391" spans="1:26" ht="15" x14ac:dyDescent="0.2">
      <c r="A391" s="169"/>
      <c r="B391" s="169"/>
      <c r="C391" s="169"/>
      <c r="D391" s="169"/>
      <c r="E391" s="169"/>
      <c r="F391" s="169"/>
      <c r="G391" s="169"/>
      <c r="H391" s="169"/>
      <c r="I391" s="169"/>
      <c r="J391" s="169"/>
      <c r="K391" s="169"/>
      <c r="L391" s="169"/>
      <c r="M391" s="169"/>
      <c r="N391" s="169"/>
      <c r="O391" s="169"/>
      <c r="P391" s="169"/>
      <c r="Q391" s="169"/>
      <c r="R391" s="169"/>
      <c r="S391" s="169"/>
      <c r="T391" s="169"/>
      <c r="U391" s="169"/>
      <c r="V391" s="169"/>
      <c r="W391" s="169"/>
      <c r="X391" s="169"/>
      <c r="Y391" s="169"/>
      <c r="Z391" s="169"/>
    </row>
    <row r="392" spans="1:26" ht="15" x14ac:dyDescent="0.2">
      <c r="A392" s="169"/>
      <c r="B392" s="169"/>
      <c r="C392" s="169"/>
      <c r="D392" s="169"/>
      <c r="E392" s="169"/>
      <c r="F392" s="169"/>
      <c r="G392" s="169"/>
      <c r="H392" s="169"/>
      <c r="I392" s="169"/>
      <c r="J392" s="169"/>
      <c r="K392" s="169"/>
      <c r="L392" s="169"/>
      <c r="M392" s="169"/>
      <c r="N392" s="169"/>
      <c r="O392" s="169"/>
      <c r="P392" s="169"/>
      <c r="Q392" s="169"/>
      <c r="R392" s="169"/>
      <c r="S392" s="169"/>
      <c r="T392" s="169"/>
      <c r="U392" s="169"/>
      <c r="V392" s="169"/>
      <c r="W392" s="169"/>
      <c r="X392" s="169"/>
      <c r="Y392" s="169"/>
      <c r="Z392" s="169"/>
    </row>
    <row r="393" spans="1:26" ht="15" x14ac:dyDescent="0.2">
      <c r="A393" s="169"/>
      <c r="B393" s="169"/>
      <c r="C393" s="169"/>
      <c r="D393" s="169"/>
      <c r="E393" s="169"/>
      <c r="F393" s="169"/>
      <c r="G393" s="169"/>
      <c r="H393" s="169"/>
      <c r="I393" s="169"/>
      <c r="J393" s="169"/>
      <c r="K393" s="169"/>
      <c r="L393" s="169"/>
      <c r="M393" s="169"/>
      <c r="N393" s="169"/>
      <c r="O393" s="169"/>
      <c r="P393" s="169"/>
      <c r="Q393" s="169"/>
      <c r="R393" s="169"/>
      <c r="S393" s="169"/>
      <c r="T393" s="169"/>
      <c r="U393" s="169"/>
      <c r="V393" s="169"/>
      <c r="W393" s="169"/>
      <c r="X393" s="169"/>
      <c r="Y393" s="169"/>
      <c r="Z393" s="169"/>
    </row>
    <row r="394" spans="1:26" ht="15" x14ac:dyDescent="0.2">
      <c r="A394" s="169"/>
      <c r="B394" s="169"/>
      <c r="C394" s="169"/>
      <c r="D394" s="169"/>
      <c r="E394" s="169"/>
      <c r="F394" s="169"/>
      <c r="G394" s="169"/>
      <c r="H394" s="169"/>
      <c r="I394" s="169"/>
      <c r="J394" s="169"/>
      <c r="K394" s="169"/>
      <c r="L394" s="169"/>
      <c r="M394" s="169"/>
      <c r="N394" s="169"/>
      <c r="O394" s="169"/>
      <c r="P394" s="169"/>
      <c r="Q394" s="169"/>
      <c r="R394" s="169"/>
      <c r="S394" s="169"/>
      <c r="T394" s="169"/>
      <c r="U394" s="169"/>
      <c r="V394" s="169"/>
      <c r="W394" s="169"/>
      <c r="X394" s="169"/>
      <c r="Y394" s="169"/>
      <c r="Z394" s="169"/>
    </row>
    <row r="395" spans="1:26" ht="15" x14ac:dyDescent="0.2">
      <c r="A395" s="169"/>
      <c r="B395" s="169"/>
      <c r="C395" s="169"/>
      <c r="D395" s="169"/>
      <c r="E395" s="169"/>
      <c r="F395" s="169"/>
      <c r="G395" s="169"/>
      <c r="H395" s="169"/>
      <c r="I395" s="169"/>
      <c r="J395" s="169"/>
      <c r="K395" s="169"/>
      <c r="L395" s="169"/>
      <c r="M395" s="169"/>
      <c r="N395" s="169"/>
      <c r="O395" s="169"/>
      <c r="P395" s="169"/>
      <c r="Q395" s="169"/>
      <c r="R395" s="169"/>
      <c r="S395" s="169"/>
      <c r="T395" s="169"/>
      <c r="U395" s="169"/>
      <c r="V395" s="169"/>
      <c r="W395" s="169"/>
      <c r="X395" s="169"/>
      <c r="Y395" s="169"/>
      <c r="Z395" s="169"/>
    </row>
    <row r="396" spans="1:26" ht="15" x14ac:dyDescent="0.2">
      <c r="A396" s="169"/>
      <c r="B396" s="169"/>
      <c r="C396" s="169"/>
      <c r="D396" s="169"/>
      <c r="E396" s="169"/>
      <c r="F396" s="169"/>
      <c r="G396" s="169"/>
      <c r="H396" s="169"/>
      <c r="I396" s="169"/>
      <c r="J396" s="169"/>
      <c r="K396" s="169"/>
      <c r="L396" s="169"/>
      <c r="M396" s="169"/>
      <c r="N396" s="169"/>
      <c r="O396" s="169"/>
      <c r="P396" s="169"/>
      <c r="Q396" s="169"/>
      <c r="R396" s="169"/>
      <c r="S396" s="169"/>
      <c r="T396" s="169"/>
      <c r="U396" s="169"/>
      <c r="V396" s="169"/>
      <c r="W396" s="169"/>
      <c r="X396" s="169"/>
      <c r="Y396" s="169"/>
      <c r="Z396" s="169"/>
    </row>
    <row r="397" spans="1:26" ht="15" x14ac:dyDescent="0.2">
      <c r="A397" s="169"/>
      <c r="B397" s="169"/>
      <c r="C397" s="169"/>
      <c r="D397" s="169"/>
      <c r="E397" s="169"/>
      <c r="F397" s="169"/>
      <c r="G397" s="169"/>
      <c r="H397" s="169"/>
      <c r="I397" s="169"/>
      <c r="J397" s="169"/>
      <c r="K397" s="169"/>
      <c r="L397" s="169"/>
      <c r="M397" s="169"/>
      <c r="N397" s="169"/>
      <c r="O397" s="169"/>
      <c r="P397" s="169"/>
      <c r="Q397" s="169"/>
      <c r="R397" s="169"/>
      <c r="S397" s="169"/>
      <c r="T397" s="169"/>
      <c r="U397" s="169"/>
      <c r="V397" s="169"/>
      <c r="W397" s="169"/>
      <c r="X397" s="169"/>
      <c r="Y397" s="169"/>
      <c r="Z397" s="169"/>
    </row>
    <row r="398" spans="1:26" ht="15" x14ac:dyDescent="0.2">
      <c r="A398" s="169"/>
      <c r="B398" s="169"/>
      <c r="C398" s="169"/>
      <c r="D398" s="169"/>
      <c r="E398" s="169"/>
      <c r="F398" s="169"/>
      <c r="G398" s="169"/>
      <c r="H398" s="169"/>
      <c r="I398" s="169"/>
      <c r="J398" s="169"/>
      <c r="K398" s="169"/>
      <c r="L398" s="169"/>
      <c r="M398" s="169"/>
      <c r="N398" s="169"/>
      <c r="O398" s="169"/>
      <c r="P398" s="169"/>
      <c r="Q398" s="169"/>
      <c r="R398" s="169"/>
      <c r="S398" s="169"/>
      <c r="T398" s="169"/>
      <c r="U398" s="169"/>
      <c r="V398" s="169"/>
      <c r="W398" s="169"/>
      <c r="X398" s="169"/>
      <c r="Y398" s="169"/>
      <c r="Z398" s="169"/>
    </row>
    <row r="399" spans="1:26" ht="15" x14ac:dyDescent="0.2">
      <c r="A399" s="169"/>
      <c r="B399" s="169"/>
      <c r="C399" s="169"/>
      <c r="D399" s="169"/>
      <c r="E399" s="169"/>
      <c r="F399" s="169"/>
      <c r="G399" s="169"/>
      <c r="H399" s="169"/>
      <c r="I399" s="169"/>
      <c r="J399" s="169"/>
      <c r="K399" s="169"/>
      <c r="L399" s="169"/>
      <c r="M399" s="169"/>
      <c r="N399" s="169"/>
      <c r="O399" s="169"/>
      <c r="P399" s="169"/>
      <c r="Q399" s="169"/>
      <c r="R399" s="169"/>
      <c r="S399" s="169"/>
      <c r="T399" s="169"/>
      <c r="U399" s="169"/>
      <c r="V399" s="169"/>
      <c r="W399" s="169"/>
      <c r="X399" s="169"/>
      <c r="Y399" s="169"/>
      <c r="Z399" s="169"/>
    </row>
    <row r="400" spans="1:26" ht="15" x14ac:dyDescent="0.2">
      <c r="A400" s="169"/>
      <c r="B400" s="169"/>
      <c r="C400" s="169"/>
      <c r="D400" s="169"/>
      <c r="E400" s="169"/>
      <c r="F400" s="169"/>
      <c r="G400" s="169"/>
      <c r="H400" s="169"/>
      <c r="I400" s="169"/>
      <c r="J400" s="169"/>
      <c r="K400" s="169"/>
      <c r="L400" s="169"/>
      <c r="M400" s="169"/>
      <c r="N400" s="169"/>
      <c r="O400" s="169"/>
      <c r="P400" s="169"/>
      <c r="Q400" s="169"/>
      <c r="R400" s="169"/>
      <c r="S400" s="169"/>
      <c r="T400" s="169"/>
      <c r="U400" s="169"/>
      <c r="V400" s="169"/>
      <c r="W400" s="169"/>
      <c r="X400" s="169"/>
      <c r="Y400" s="169"/>
      <c r="Z400" s="169"/>
    </row>
    <row r="401" spans="1:26" ht="15" x14ac:dyDescent="0.2">
      <c r="A401" s="169"/>
      <c r="B401" s="169"/>
      <c r="C401" s="169"/>
      <c r="D401" s="169"/>
      <c r="E401" s="169"/>
      <c r="F401" s="169"/>
      <c r="G401" s="169"/>
      <c r="H401" s="169"/>
      <c r="I401" s="169"/>
      <c r="J401" s="169"/>
      <c r="K401" s="169"/>
      <c r="L401" s="169"/>
      <c r="M401" s="169"/>
      <c r="N401" s="169"/>
      <c r="O401" s="169"/>
      <c r="P401" s="169"/>
      <c r="Q401" s="169"/>
      <c r="R401" s="169"/>
      <c r="S401" s="169"/>
      <c r="T401" s="169"/>
      <c r="U401" s="169"/>
      <c r="V401" s="169"/>
      <c r="W401" s="169"/>
      <c r="X401" s="169"/>
      <c r="Y401" s="169"/>
      <c r="Z401" s="169"/>
    </row>
    <row r="402" spans="1:26" ht="15" x14ac:dyDescent="0.2">
      <c r="A402" s="169"/>
      <c r="B402" s="169"/>
      <c r="C402" s="169"/>
      <c r="D402" s="169"/>
      <c r="E402" s="169"/>
      <c r="F402" s="169"/>
      <c r="G402" s="169"/>
      <c r="H402" s="169"/>
      <c r="I402" s="169"/>
      <c r="J402" s="169"/>
      <c r="K402" s="169"/>
      <c r="L402" s="169"/>
      <c r="M402" s="169"/>
      <c r="N402" s="169"/>
      <c r="O402" s="169"/>
      <c r="P402" s="169"/>
      <c r="Q402" s="169"/>
      <c r="R402" s="169"/>
      <c r="S402" s="169"/>
      <c r="T402" s="169"/>
      <c r="U402" s="169"/>
      <c r="V402" s="169"/>
      <c r="W402" s="169"/>
      <c r="X402" s="169"/>
      <c r="Y402" s="169"/>
      <c r="Z402" s="169"/>
    </row>
    <row r="403" spans="1:26" ht="15" x14ac:dyDescent="0.2">
      <c r="A403" s="169"/>
      <c r="B403" s="169"/>
      <c r="C403" s="169"/>
      <c r="D403" s="169"/>
      <c r="E403" s="169"/>
      <c r="F403" s="169"/>
      <c r="G403" s="169"/>
      <c r="H403" s="169"/>
      <c r="I403" s="169"/>
      <c r="J403" s="169"/>
      <c r="K403" s="169"/>
      <c r="L403" s="169"/>
      <c r="M403" s="169"/>
      <c r="N403" s="169"/>
      <c r="O403" s="169"/>
      <c r="P403" s="169"/>
      <c r="Q403" s="169"/>
      <c r="R403" s="169"/>
      <c r="S403" s="169"/>
      <c r="T403" s="169"/>
      <c r="U403" s="169"/>
      <c r="V403" s="169"/>
      <c r="W403" s="169"/>
      <c r="X403" s="169"/>
      <c r="Y403" s="169"/>
      <c r="Z403" s="169"/>
    </row>
    <row r="404" spans="1:26" ht="15" x14ac:dyDescent="0.2">
      <c r="A404" s="169"/>
      <c r="B404" s="169"/>
      <c r="C404" s="169"/>
      <c r="D404" s="169"/>
      <c r="E404" s="169"/>
      <c r="F404" s="169"/>
      <c r="G404" s="169"/>
      <c r="H404" s="169"/>
      <c r="I404" s="169"/>
      <c r="J404" s="169"/>
      <c r="K404" s="169"/>
      <c r="L404" s="169"/>
      <c r="M404" s="169"/>
      <c r="N404" s="169"/>
      <c r="O404" s="169"/>
      <c r="P404" s="169"/>
      <c r="Q404" s="169"/>
      <c r="R404" s="169"/>
      <c r="S404" s="169"/>
      <c r="T404" s="169"/>
      <c r="U404" s="169"/>
      <c r="V404" s="169"/>
      <c r="W404" s="169"/>
      <c r="X404" s="169"/>
      <c r="Y404" s="169"/>
      <c r="Z404" s="169"/>
    </row>
    <row r="405" spans="1:26" ht="15" x14ac:dyDescent="0.2">
      <c r="A405" s="169"/>
      <c r="B405" s="169"/>
      <c r="C405" s="169"/>
      <c r="D405" s="169"/>
      <c r="E405" s="169"/>
      <c r="F405" s="169"/>
      <c r="G405" s="169"/>
      <c r="H405" s="169"/>
      <c r="I405" s="169"/>
      <c r="J405" s="169"/>
      <c r="K405" s="169"/>
      <c r="L405" s="169"/>
      <c r="M405" s="169"/>
      <c r="N405" s="169"/>
      <c r="O405" s="169"/>
      <c r="P405" s="169"/>
      <c r="Q405" s="169"/>
      <c r="R405" s="169"/>
      <c r="S405" s="169"/>
      <c r="T405" s="169"/>
      <c r="U405" s="169"/>
      <c r="V405" s="169"/>
      <c r="W405" s="169"/>
      <c r="X405" s="169"/>
      <c r="Y405" s="169"/>
      <c r="Z405" s="169"/>
    </row>
    <row r="406" spans="1:26" ht="15" x14ac:dyDescent="0.2">
      <c r="A406" s="169"/>
      <c r="B406" s="169"/>
      <c r="C406" s="169"/>
      <c r="D406" s="169"/>
      <c r="E406" s="169"/>
      <c r="F406" s="169"/>
      <c r="G406" s="169"/>
      <c r="H406" s="169"/>
      <c r="I406" s="169"/>
      <c r="J406" s="169"/>
      <c r="K406" s="169"/>
      <c r="L406" s="169"/>
      <c r="M406" s="169"/>
      <c r="N406" s="169"/>
      <c r="O406" s="169"/>
      <c r="P406" s="169"/>
      <c r="Q406" s="169"/>
      <c r="R406" s="169"/>
      <c r="S406" s="169"/>
      <c r="T406" s="169"/>
      <c r="U406" s="169"/>
      <c r="V406" s="169"/>
      <c r="W406" s="169"/>
      <c r="X406" s="169"/>
      <c r="Y406" s="169"/>
      <c r="Z406" s="169"/>
    </row>
    <row r="407" spans="1:26" ht="15" x14ac:dyDescent="0.2">
      <c r="A407" s="169"/>
      <c r="B407" s="169"/>
      <c r="C407" s="169"/>
      <c r="D407" s="169"/>
      <c r="E407" s="169"/>
      <c r="F407" s="169"/>
      <c r="G407" s="169"/>
      <c r="H407" s="169"/>
      <c r="I407" s="169"/>
      <c r="J407" s="169"/>
      <c r="K407" s="169"/>
      <c r="L407" s="169"/>
      <c r="M407" s="169"/>
      <c r="N407" s="169"/>
      <c r="O407" s="169"/>
      <c r="P407" s="169"/>
      <c r="Q407" s="169"/>
      <c r="R407" s="169"/>
      <c r="S407" s="169"/>
      <c r="T407" s="169"/>
      <c r="U407" s="169"/>
      <c r="V407" s="169"/>
      <c r="W407" s="169"/>
      <c r="X407" s="169"/>
      <c r="Y407" s="169"/>
      <c r="Z407" s="169"/>
    </row>
    <row r="408" spans="1:26" ht="15" x14ac:dyDescent="0.2">
      <c r="A408" s="169"/>
      <c r="B408" s="169"/>
      <c r="C408" s="169"/>
      <c r="D408" s="169"/>
      <c r="E408" s="169"/>
      <c r="F408" s="169"/>
      <c r="G408" s="169"/>
      <c r="H408" s="169"/>
      <c r="I408" s="169"/>
      <c r="J408" s="169"/>
      <c r="K408" s="169"/>
      <c r="L408" s="169"/>
      <c r="M408" s="169"/>
      <c r="N408" s="169"/>
      <c r="O408" s="169"/>
      <c r="P408" s="169"/>
      <c r="Q408" s="169"/>
      <c r="R408" s="169"/>
      <c r="S408" s="169"/>
      <c r="T408" s="169"/>
      <c r="U408" s="169"/>
      <c r="V408" s="169"/>
      <c r="W408" s="169"/>
      <c r="X408" s="169"/>
      <c r="Y408" s="169"/>
      <c r="Z408" s="169"/>
    </row>
    <row r="409" spans="1:26" ht="15" x14ac:dyDescent="0.2">
      <c r="A409" s="169"/>
      <c r="B409" s="169"/>
      <c r="C409" s="169"/>
      <c r="D409" s="169"/>
      <c r="E409" s="169"/>
      <c r="F409" s="169"/>
      <c r="G409" s="169"/>
      <c r="H409" s="169"/>
      <c r="I409" s="169"/>
      <c r="J409" s="169"/>
      <c r="K409" s="169"/>
      <c r="L409" s="169"/>
      <c r="M409" s="169"/>
      <c r="N409" s="169"/>
      <c r="O409" s="169"/>
      <c r="P409" s="169"/>
      <c r="Q409" s="169"/>
      <c r="R409" s="169"/>
      <c r="S409" s="169"/>
      <c r="T409" s="169"/>
      <c r="U409" s="169"/>
      <c r="V409" s="169"/>
      <c r="W409" s="169"/>
      <c r="X409" s="169"/>
      <c r="Y409" s="169"/>
      <c r="Z409" s="169"/>
    </row>
    <row r="410" spans="1:26" ht="15" x14ac:dyDescent="0.2">
      <c r="A410" s="169"/>
      <c r="B410" s="169"/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U410" s="169"/>
      <c r="V410" s="169"/>
      <c r="W410" s="169"/>
      <c r="X410" s="169"/>
      <c r="Y410" s="169"/>
      <c r="Z410" s="169"/>
    </row>
    <row r="411" spans="1:26" ht="15" x14ac:dyDescent="0.2">
      <c r="A411" s="169"/>
      <c r="B411" s="169"/>
      <c r="C411" s="169"/>
      <c r="D411" s="169"/>
      <c r="E411" s="169"/>
      <c r="F411" s="169"/>
      <c r="G411" s="169"/>
      <c r="H411" s="169"/>
      <c r="I411" s="169"/>
      <c r="J411" s="169"/>
      <c r="K411" s="169"/>
      <c r="L411" s="169"/>
      <c r="M411" s="169"/>
      <c r="N411" s="169"/>
      <c r="O411" s="169"/>
      <c r="P411" s="169"/>
      <c r="Q411" s="169"/>
      <c r="R411" s="169"/>
      <c r="S411" s="169"/>
      <c r="T411" s="169"/>
      <c r="U411" s="169"/>
      <c r="V411" s="169"/>
      <c r="W411" s="169"/>
      <c r="X411" s="169"/>
      <c r="Y411" s="169"/>
      <c r="Z411" s="169"/>
    </row>
    <row r="412" spans="1:26" ht="15" x14ac:dyDescent="0.2">
      <c r="A412" s="169"/>
      <c r="B412" s="169"/>
      <c r="C412" s="169"/>
      <c r="D412" s="169"/>
      <c r="E412" s="169"/>
      <c r="F412" s="169"/>
      <c r="G412" s="169"/>
      <c r="H412" s="169"/>
      <c r="I412" s="169"/>
      <c r="J412" s="169"/>
      <c r="K412" s="169"/>
      <c r="L412" s="169"/>
      <c r="M412" s="169"/>
      <c r="N412" s="169"/>
      <c r="O412" s="169"/>
      <c r="P412" s="169"/>
      <c r="Q412" s="169"/>
      <c r="R412" s="169"/>
      <c r="S412" s="169"/>
      <c r="T412" s="169"/>
      <c r="U412" s="169"/>
      <c r="V412" s="169"/>
      <c r="W412" s="169"/>
      <c r="X412" s="169"/>
      <c r="Y412" s="169"/>
      <c r="Z412" s="169"/>
    </row>
    <row r="413" spans="1:26" ht="15" x14ac:dyDescent="0.2">
      <c r="A413" s="169"/>
      <c r="B413" s="169"/>
      <c r="C413" s="169"/>
      <c r="D413" s="169"/>
      <c r="E413" s="169"/>
      <c r="F413" s="169"/>
      <c r="G413" s="169"/>
      <c r="H413" s="169"/>
      <c r="I413" s="169"/>
      <c r="J413" s="169"/>
      <c r="K413" s="169"/>
      <c r="L413" s="169"/>
      <c r="M413" s="169"/>
      <c r="N413" s="169"/>
      <c r="O413" s="169"/>
      <c r="P413" s="169"/>
      <c r="Q413" s="169"/>
      <c r="R413" s="169"/>
      <c r="S413" s="169"/>
      <c r="T413" s="169"/>
      <c r="U413" s="169"/>
      <c r="V413" s="169"/>
      <c r="W413" s="169"/>
      <c r="X413" s="169"/>
      <c r="Y413" s="169"/>
      <c r="Z413" s="169"/>
    </row>
    <row r="414" spans="1:26" ht="15" x14ac:dyDescent="0.2">
      <c r="A414" s="169"/>
      <c r="B414" s="169"/>
      <c r="C414" s="169"/>
      <c r="D414" s="169"/>
      <c r="E414" s="169"/>
      <c r="F414" s="169"/>
      <c r="G414" s="169"/>
      <c r="H414" s="169"/>
      <c r="I414" s="169"/>
      <c r="J414" s="169"/>
      <c r="K414" s="169"/>
      <c r="L414" s="169"/>
      <c r="M414" s="169"/>
      <c r="N414" s="169"/>
      <c r="O414" s="169"/>
      <c r="P414" s="169"/>
      <c r="Q414" s="169"/>
      <c r="R414" s="169"/>
      <c r="S414" s="169"/>
      <c r="T414" s="169"/>
      <c r="U414" s="169"/>
      <c r="V414" s="169"/>
      <c r="W414" s="169"/>
      <c r="X414" s="169"/>
      <c r="Y414" s="169"/>
      <c r="Z414" s="169"/>
    </row>
    <row r="415" spans="1:26" ht="15" x14ac:dyDescent="0.2">
      <c r="A415" s="169"/>
      <c r="B415" s="169"/>
      <c r="C415" s="169"/>
      <c r="D415" s="169"/>
      <c r="E415" s="169"/>
      <c r="F415" s="169"/>
      <c r="G415" s="169"/>
      <c r="H415" s="169"/>
      <c r="I415" s="169"/>
      <c r="J415" s="169"/>
      <c r="K415" s="169"/>
      <c r="L415" s="169"/>
      <c r="M415" s="169"/>
      <c r="N415" s="169"/>
      <c r="O415" s="169"/>
      <c r="P415" s="169"/>
      <c r="Q415" s="169"/>
      <c r="R415" s="169"/>
      <c r="S415" s="169"/>
      <c r="T415" s="169"/>
      <c r="U415" s="169"/>
      <c r="V415" s="169"/>
      <c r="W415" s="169"/>
      <c r="X415" s="169"/>
      <c r="Y415" s="169"/>
      <c r="Z415" s="169"/>
    </row>
    <row r="416" spans="1:26" ht="15" x14ac:dyDescent="0.2">
      <c r="A416" s="169"/>
      <c r="B416" s="169"/>
      <c r="C416" s="169"/>
      <c r="D416" s="169"/>
      <c r="E416" s="169"/>
      <c r="F416" s="169"/>
      <c r="G416" s="169"/>
      <c r="H416" s="169"/>
      <c r="I416" s="169"/>
      <c r="J416" s="169"/>
      <c r="K416" s="169"/>
      <c r="L416" s="169"/>
      <c r="M416" s="169"/>
      <c r="N416" s="169"/>
      <c r="O416" s="169"/>
      <c r="P416" s="169"/>
      <c r="Q416" s="169"/>
      <c r="R416" s="169"/>
      <c r="S416" s="169"/>
      <c r="T416" s="169"/>
      <c r="U416" s="169"/>
      <c r="V416" s="169"/>
      <c r="W416" s="169"/>
      <c r="X416" s="169"/>
      <c r="Y416" s="169"/>
      <c r="Z416" s="169"/>
    </row>
    <row r="417" spans="1:26" ht="15" x14ac:dyDescent="0.2">
      <c r="A417" s="169"/>
      <c r="B417" s="169"/>
      <c r="C417" s="169"/>
      <c r="D417" s="169"/>
      <c r="E417" s="169"/>
      <c r="F417" s="169"/>
      <c r="G417" s="169"/>
      <c r="H417" s="169"/>
      <c r="I417" s="169"/>
      <c r="J417" s="169"/>
      <c r="K417" s="169"/>
      <c r="L417" s="169"/>
      <c r="M417" s="169"/>
      <c r="N417" s="169"/>
      <c r="O417" s="169"/>
      <c r="P417" s="169"/>
      <c r="Q417" s="169"/>
      <c r="R417" s="169"/>
      <c r="S417" s="169"/>
      <c r="T417" s="169"/>
      <c r="U417" s="169"/>
      <c r="V417" s="169"/>
      <c r="W417" s="169"/>
      <c r="X417" s="169"/>
      <c r="Y417" s="169"/>
      <c r="Z417" s="169"/>
    </row>
    <row r="418" spans="1:26" ht="15" x14ac:dyDescent="0.2">
      <c r="A418" s="169"/>
      <c r="B418" s="169"/>
      <c r="C418" s="169"/>
      <c r="D418" s="169"/>
      <c r="E418" s="169"/>
      <c r="F418" s="169"/>
      <c r="G418" s="169"/>
      <c r="H418" s="169"/>
      <c r="I418" s="169"/>
      <c r="J418" s="169"/>
      <c r="K418" s="169"/>
      <c r="L418" s="169"/>
      <c r="M418" s="169"/>
      <c r="N418" s="169"/>
      <c r="O418" s="169"/>
      <c r="P418" s="169"/>
      <c r="Q418" s="169"/>
      <c r="R418" s="169"/>
      <c r="S418" s="169"/>
      <c r="T418" s="169"/>
      <c r="U418" s="169"/>
      <c r="V418" s="169"/>
      <c r="W418" s="169"/>
      <c r="X418" s="169"/>
      <c r="Y418" s="169"/>
      <c r="Z418" s="169"/>
    </row>
    <row r="419" spans="1:26" ht="15" x14ac:dyDescent="0.2">
      <c r="A419" s="169"/>
      <c r="B419" s="169"/>
      <c r="C419" s="169"/>
      <c r="D419" s="169"/>
      <c r="E419" s="169"/>
      <c r="F419" s="169"/>
      <c r="G419" s="169"/>
      <c r="H419" s="169"/>
      <c r="I419" s="169"/>
      <c r="J419" s="169"/>
      <c r="K419" s="169"/>
      <c r="L419" s="169"/>
      <c r="M419" s="169"/>
      <c r="N419" s="169"/>
      <c r="O419" s="169"/>
      <c r="P419" s="169"/>
      <c r="Q419" s="169"/>
      <c r="R419" s="169"/>
      <c r="S419" s="169"/>
      <c r="T419" s="169"/>
      <c r="U419" s="169"/>
      <c r="V419" s="169"/>
      <c r="W419" s="169"/>
      <c r="X419" s="169"/>
      <c r="Y419" s="169"/>
      <c r="Z419" s="169"/>
    </row>
    <row r="420" spans="1:26" ht="15" x14ac:dyDescent="0.2">
      <c r="A420" s="169"/>
      <c r="B420" s="169"/>
      <c r="C420" s="169"/>
      <c r="D420" s="169"/>
      <c r="E420" s="169"/>
      <c r="F420" s="169"/>
      <c r="G420" s="169"/>
      <c r="H420" s="169"/>
      <c r="I420" s="169"/>
      <c r="J420" s="169"/>
      <c r="K420" s="169"/>
      <c r="L420" s="169"/>
      <c r="M420" s="169"/>
      <c r="N420" s="169"/>
      <c r="O420" s="169"/>
      <c r="P420" s="169"/>
      <c r="Q420" s="169"/>
      <c r="R420" s="169"/>
      <c r="S420" s="169"/>
      <c r="T420" s="169"/>
      <c r="U420" s="169"/>
      <c r="V420" s="169"/>
      <c r="W420" s="169"/>
      <c r="X420" s="169"/>
      <c r="Y420" s="169"/>
      <c r="Z420" s="169"/>
    </row>
    <row r="421" spans="1:26" ht="15" x14ac:dyDescent="0.2">
      <c r="A421" s="169"/>
      <c r="B421" s="169"/>
      <c r="C421" s="169"/>
      <c r="D421" s="169"/>
      <c r="E421" s="169"/>
      <c r="F421" s="169"/>
      <c r="G421" s="169"/>
      <c r="H421" s="169"/>
      <c r="I421" s="169"/>
      <c r="J421" s="169"/>
      <c r="K421" s="169"/>
      <c r="L421" s="169"/>
      <c r="M421" s="169"/>
      <c r="N421" s="169"/>
      <c r="O421" s="169"/>
      <c r="P421" s="169"/>
      <c r="Q421" s="169"/>
      <c r="R421" s="169"/>
      <c r="S421" s="169"/>
      <c r="T421" s="169"/>
      <c r="U421" s="169"/>
      <c r="V421" s="169"/>
      <c r="W421" s="169"/>
      <c r="X421" s="169"/>
      <c r="Y421" s="169"/>
      <c r="Z421" s="169"/>
    </row>
    <row r="422" spans="1:26" ht="15" x14ac:dyDescent="0.2">
      <c r="A422" s="169"/>
      <c r="B422" s="169"/>
      <c r="C422" s="169"/>
      <c r="D422" s="169"/>
      <c r="E422" s="169"/>
      <c r="F422" s="169"/>
      <c r="G422" s="169"/>
      <c r="H422" s="169"/>
      <c r="I422" s="169"/>
      <c r="J422" s="169"/>
      <c r="K422" s="169"/>
      <c r="L422" s="169"/>
      <c r="M422" s="169"/>
      <c r="N422" s="169"/>
      <c r="O422" s="169"/>
      <c r="P422" s="169"/>
      <c r="Q422" s="169"/>
      <c r="R422" s="169"/>
      <c r="S422" s="169"/>
      <c r="T422" s="169"/>
      <c r="U422" s="169"/>
      <c r="V422" s="169"/>
      <c r="W422" s="169"/>
      <c r="X422" s="169"/>
      <c r="Y422" s="169"/>
      <c r="Z422" s="169"/>
    </row>
    <row r="423" spans="1:26" ht="15" x14ac:dyDescent="0.2">
      <c r="A423" s="169"/>
      <c r="B423" s="169"/>
      <c r="C423" s="169"/>
      <c r="D423" s="169"/>
      <c r="E423" s="169"/>
      <c r="F423" s="169"/>
      <c r="G423" s="169"/>
      <c r="H423" s="169"/>
      <c r="I423" s="169"/>
      <c r="J423" s="169"/>
      <c r="K423" s="169"/>
      <c r="L423" s="169"/>
      <c r="M423" s="169"/>
      <c r="N423" s="169"/>
      <c r="O423" s="169"/>
      <c r="P423" s="169"/>
      <c r="Q423" s="169"/>
      <c r="R423" s="169"/>
      <c r="S423" s="169"/>
      <c r="T423" s="169"/>
      <c r="U423" s="169"/>
      <c r="V423" s="169"/>
      <c r="W423" s="169"/>
      <c r="X423" s="169"/>
      <c r="Y423" s="169"/>
      <c r="Z423" s="169"/>
    </row>
    <row r="424" spans="1:26" ht="15" x14ac:dyDescent="0.2">
      <c r="A424" s="169"/>
      <c r="B424" s="169"/>
      <c r="C424" s="169"/>
      <c r="D424" s="169"/>
      <c r="E424" s="169"/>
      <c r="F424" s="169"/>
      <c r="G424" s="169"/>
      <c r="H424" s="169"/>
      <c r="I424" s="169"/>
      <c r="J424" s="169"/>
      <c r="K424" s="169"/>
      <c r="L424" s="169"/>
      <c r="M424" s="169"/>
      <c r="N424" s="169"/>
      <c r="O424" s="169"/>
      <c r="P424" s="169"/>
      <c r="Q424" s="169"/>
      <c r="R424" s="169"/>
      <c r="S424" s="169"/>
      <c r="T424" s="169"/>
      <c r="U424" s="169"/>
      <c r="V424" s="169"/>
      <c r="W424" s="169"/>
      <c r="X424" s="169"/>
      <c r="Y424" s="169"/>
      <c r="Z424" s="169"/>
    </row>
    <row r="425" spans="1:26" ht="15" x14ac:dyDescent="0.2">
      <c r="A425" s="169"/>
      <c r="B425" s="169"/>
      <c r="C425" s="169"/>
      <c r="D425" s="169"/>
      <c r="E425" s="169"/>
      <c r="F425" s="169"/>
      <c r="G425" s="169"/>
      <c r="H425" s="169"/>
      <c r="I425" s="169"/>
      <c r="J425" s="169"/>
      <c r="K425" s="169"/>
      <c r="L425" s="169"/>
      <c r="M425" s="169"/>
      <c r="N425" s="169"/>
      <c r="O425" s="169"/>
      <c r="P425" s="169"/>
      <c r="Q425" s="169"/>
      <c r="R425" s="169"/>
      <c r="S425" s="169"/>
      <c r="T425" s="169"/>
      <c r="U425" s="169"/>
      <c r="V425" s="169"/>
      <c r="W425" s="169"/>
      <c r="X425" s="169"/>
      <c r="Y425" s="169"/>
      <c r="Z425" s="169"/>
    </row>
    <row r="426" spans="1:26" ht="15" x14ac:dyDescent="0.2">
      <c r="A426" s="169"/>
      <c r="B426" s="169"/>
      <c r="C426" s="169"/>
      <c r="D426" s="169"/>
      <c r="E426" s="169"/>
      <c r="F426" s="169"/>
      <c r="G426" s="169"/>
      <c r="H426" s="169"/>
      <c r="I426" s="169"/>
      <c r="J426" s="169"/>
      <c r="K426" s="169"/>
      <c r="L426" s="169"/>
      <c r="M426" s="169"/>
      <c r="N426" s="169"/>
      <c r="O426" s="169"/>
      <c r="P426" s="169"/>
      <c r="Q426" s="169"/>
      <c r="R426" s="169"/>
      <c r="S426" s="169"/>
      <c r="T426" s="169"/>
      <c r="U426" s="169"/>
      <c r="V426" s="169"/>
      <c r="W426" s="169"/>
      <c r="X426" s="169"/>
      <c r="Y426" s="169"/>
      <c r="Z426" s="169"/>
    </row>
    <row r="427" spans="1:26" ht="15" x14ac:dyDescent="0.2">
      <c r="A427" s="169"/>
      <c r="B427" s="169"/>
      <c r="C427" s="169"/>
      <c r="D427" s="169"/>
      <c r="E427" s="169"/>
      <c r="F427" s="169"/>
      <c r="G427" s="169"/>
      <c r="H427" s="169"/>
      <c r="I427" s="169"/>
      <c r="J427" s="169"/>
      <c r="K427" s="169"/>
      <c r="L427" s="169"/>
      <c r="M427" s="169"/>
      <c r="N427" s="169"/>
      <c r="O427" s="169"/>
      <c r="P427" s="169"/>
      <c r="Q427" s="169"/>
      <c r="R427" s="169"/>
      <c r="S427" s="169"/>
      <c r="T427" s="169"/>
      <c r="U427" s="169"/>
      <c r="V427" s="169"/>
      <c r="W427" s="169"/>
      <c r="X427" s="169"/>
      <c r="Y427" s="169"/>
      <c r="Z427" s="169"/>
    </row>
    <row r="428" spans="1:26" ht="15" x14ac:dyDescent="0.2">
      <c r="A428" s="169"/>
      <c r="B428" s="169"/>
      <c r="C428" s="169"/>
      <c r="D428" s="169"/>
      <c r="E428" s="169"/>
      <c r="F428" s="169"/>
      <c r="G428" s="169"/>
      <c r="H428" s="169"/>
      <c r="I428" s="169"/>
      <c r="J428" s="169"/>
      <c r="K428" s="169"/>
      <c r="L428" s="169"/>
      <c r="M428" s="169"/>
      <c r="N428" s="169"/>
      <c r="O428" s="169"/>
      <c r="P428" s="169"/>
      <c r="Q428" s="169"/>
      <c r="R428" s="169"/>
      <c r="S428" s="169"/>
      <c r="T428" s="169"/>
      <c r="U428" s="169"/>
      <c r="V428" s="169"/>
      <c r="W428" s="169"/>
      <c r="X428" s="169"/>
      <c r="Y428" s="169"/>
      <c r="Z428" s="169"/>
    </row>
    <row r="429" spans="1:26" ht="15" x14ac:dyDescent="0.2">
      <c r="A429" s="169"/>
      <c r="B429" s="169"/>
      <c r="C429" s="169"/>
      <c r="D429" s="169"/>
      <c r="E429" s="169"/>
      <c r="F429" s="169"/>
      <c r="G429" s="169"/>
      <c r="H429" s="169"/>
      <c r="I429" s="169"/>
      <c r="J429" s="169"/>
      <c r="K429" s="169"/>
      <c r="L429" s="169"/>
      <c r="M429" s="169"/>
      <c r="N429" s="169"/>
      <c r="O429" s="169"/>
      <c r="P429" s="169"/>
      <c r="Q429" s="169"/>
      <c r="R429" s="169"/>
      <c r="S429" s="169"/>
      <c r="T429" s="169"/>
      <c r="U429" s="169"/>
      <c r="V429" s="169"/>
      <c r="W429" s="169"/>
      <c r="X429" s="169"/>
      <c r="Y429" s="169"/>
      <c r="Z429" s="169"/>
    </row>
    <row r="430" spans="1:26" ht="15" x14ac:dyDescent="0.2">
      <c r="A430" s="169"/>
      <c r="B430" s="169"/>
      <c r="C430" s="169"/>
      <c r="D430" s="169"/>
      <c r="E430" s="169"/>
      <c r="F430" s="169"/>
      <c r="G430" s="169"/>
      <c r="H430" s="169"/>
      <c r="I430" s="169"/>
      <c r="J430" s="169"/>
      <c r="K430" s="169"/>
      <c r="L430" s="169"/>
      <c r="M430" s="169"/>
      <c r="N430" s="169"/>
      <c r="O430" s="169"/>
      <c r="P430" s="169"/>
      <c r="Q430" s="169"/>
      <c r="R430" s="169"/>
      <c r="S430" s="169"/>
      <c r="T430" s="169"/>
      <c r="U430" s="169"/>
      <c r="V430" s="169"/>
      <c r="W430" s="169"/>
      <c r="X430" s="169"/>
      <c r="Y430" s="169"/>
      <c r="Z430" s="169"/>
    </row>
    <row r="431" spans="1:26" ht="15" x14ac:dyDescent="0.2">
      <c r="A431" s="169"/>
      <c r="B431" s="169"/>
      <c r="C431" s="169"/>
      <c r="D431" s="169"/>
      <c r="E431" s="169"/>
      <c r="F431" s="169"/>
      <c r="G431" s="169"/>
      <c r="H431" s="169"/>
      <c r="I431" s="169"/>
      <c r="J431" s="169"/>
      <c r="K431" s="169"/>
      <c r="L431" s="169"/>
      <c r="M431" s="169"/>
      <c r="N431" s="169"/>
      <c r="O431" s="169"/>
      <c r="P431" s="169"/>
      <c r="Q431" s="169"/>
      <c r="R431" s="169"/>
      <c r="S431" s="169"/>
      <c r="T431" s="169"/>
      <c r="U431" s="169"/>
      <c r="V431" s="169"/>
      <c r="W431" s="169"/>
      <c r="X431" s="169"/>
      <c r="Y431" s="169"/>
      <c r="Z431" s="169"/>
    </row>
    <row r="432" spans="1:26" ht="15" x14ac:dyDescent="0.2">
      <c r="A432" s="169"/>
      <c r="B432" s="169"/>
      <c r="C432" s="169"/>
      <c r="D432" s="169"/>
      <c r="E432" s="169"/>
      <c r="F432" s="169"/>
      <c r="G432" s="169"/>
      <c r="H432" s="169"/>
      <c r="I432" s="169"/>
      <c r="J432" s="169"/>
      <c r="K432" s="169"/>
      <c r="L432" s="169"/>
      <c r="M432" s="169"/>
      <c r="N432" s="169"/>
      <c r="O432" s="169"/>
      <c r="P432" s="169"/>
      <c r="Q432" s="169"/>
      <c r="R432" s="169"/>
      <c r="S432" s="169"/>
      <c r="T432" s="169"/>
      <c r="U432" s="169"/>
      <c r="V432" s="169"/>
      <c r="W432" s="169"/>
      <c r="X432" s="169"/>
      <c r="Y432" s="169"/>
      <c r="Z432" s="169"/>
    </row>
    <row r="433" spans="1:26" ht="15" x14ac:dyDescent="0.2">
      <c r="A433" s="169"/>
      <c r="B433" s="169"/>
      <c r="C433" s="169"/>
      <c r="D433" s="169"/>
      <c r="E433" s="169"/>
      <c r="F433" s="169"/>
      <c r="G433" s="169"/>
      <c r="H433" s="169"/>
      <c r="I433" s="169"/>
      <c r="J433" s="169"/>
      <c r="K433" s="169"/>
      <c r="L433" s="169"/>
      <c r="M433" s="169"/>
      <c r="N433" s="169"/>
      <c r="O433" s="169"/>
      <c r="P433" s="169"/>
      <c r="Q433" s="169"/>
      <c r="R433" s="169"/>
      <c r="S433" s="169"/>
      <c r="T433" s="169"/>
      <c r="U433" s="169"/>
      <c r="V433" s="169"/>
      <c r="W433" s="169"/>
      <c r="X433" s="169"/>
      <c r="Y433" s="169"/>
      <c r="Z433" s="169"/>
    </row>
    <row r="434" spans="1:26" ht="15" x14ac:dyDescent="0.2">
      <c r="A434" s="169"/>
      <c r="B434" s="169"/>
      <c r="C434" s="169"/>
      <c r="D434" s="169"/>
      <c r="E434" s="169"/>
      <c r="F434" s="169"/>
      <c r="G434" s="169"/>
      <c r="H434" s="169"/>
      <c r="I434" s="169"/>
      <c r="J434" s="169"/>
      <c r="K434" s="169"/>
      <c r="L434" s="169"/>
      <c r="M434" s="169"/>
      <c r="N434" s="169"/>
      <c r="O434" s="169"/>
      <c r="P434" s="169"/>
      <c r="Q434" s="169"/>
      <c r="R434" s="169"/>
      <c r="S434" s="169"/>
      <c r="T434" s="169"/>
      <c r="U434" s="169"/>
      <c r="V434" s="169"/>
      <c r="W434" s="169"/>
      <c r="X434" s="169"/>
      <c r="Y434" s="169"/>
      <c r="Z434" s="169"/>
    </row>
    <row r="435" spans="1:26" ht="15" x14ac:dyDescent="0.2">
      <c r="A435" s="169"/>
      <c r="B435" s="169"/>
      <c r="C435" s="169"/>
      <c r="D435" s="169"/>
      <c r="E435" s="169"/>
      <c r="F435" s="169"/>
      <c r="G435" s="169"/>
      <c r="H435" s="169"/>
      <c r="I435" s="169"/>
      <c r="J435" s="169"/>
      <c r="K435" s="169"/>
      <c r="L435" s="169"/>
      <c r="M435" s="169"/>
      <c r="N435" s="169"/>
      <c r="O435" s="169"/>
      <c r="P435" s="169"/>
      <c r="Q435" s="169"/>
      <c r="R435" s="169"/>
      <c r="S435" s="169"/>
      <c r="T435" s="169"/>
      <c r="U435" s="169"/>
      <c r="V435" s="169"/>
      <c r="W435" s="169"/>
      <c r="X435" s="169"/>
      <c r="Y435" s="169"/>
      <c r="Z435" s="169"/>
    </row>
    <row r="436" spans="1:26" ht="15" x14ac:dyDescent="0.2">
      <c r="A436" s="169"/>
      <c r="B436" s="169"/>
      <c r="C436" s="169"/>
      <c r="D436" s="169"/>
      <c r="E436" s="169"/>
      <c r="F436" s="169"/>
      <c r="G436" s="169"/>
      <c r="H436" s="169"/>
      <c r="I436" s="169"/>
      <c r="J436" s="169"/>
      <c r="K436" s="169"/>
      <c r="L436" s="169"/>
      <c r="M436" s="169"/>
      <c r="N436" s="169"/>
      <c r="O436" s="169"/>
      <c r="P436" s="169"/>
      <c r="Q436" s="169"/>
      <c r="R436" s="169"/>
      <c r="S436" s="169"/>
      <c r="T436" s="169"/>
      <c r="U436" s="169"/>
      <c r="V436" s="169"/>
      <c r="W436" s="169"/>
      <c r="X436" s="169"/>
      <c r="Y436" s="169"/>
      <c r="Z436" s="169"/>
    </row>
    <row r="437" spans="1:26" ht="15" x14ac:dyDescent="0.2">
      <c r="A437" s="169"/>
      <c r="B437" s="169"/>
      <c r="C437" s="169"/>
      <c r="D437" s="169"/>
      <c r="E437" s="169"/>
      <c r="F437" s="169"/>
      <c r="G437" s="169"/>
      <c r="H437" s="169"/>
      <c r="I437" s="169"/>
      <c r="J437" s="169"/>
      <c r="K437" s="169"/>
      <c r="L437" s="169"/>
      <c r="M437" s="169"/>
      <c r="N437" s="169"/>
      <c r="O437" s="169"/>
      <c r="P437" s="169"/>
      <c r="Q437" s="169"/>
      <c r="R437" s="169"/>
      <c r="S437" s="169"/>
      <c r="T437" s="169"/>
      <c r="U437" s="169"/>
      <c r="V437" s="169"/>
      <c r="W437" s="169"/>
      <c r="X437" s="169"/>
      <c r="Y437" s="169"/>
      <c r="Z437" s="169"/>
    </row>
    <row r="438" spans="1:26" ht="15" x14ac:dyDescent="0.2">
      <c r="A438" s="169"/>
      <c r="B438" s="169"/>
      <c r="C438" s="169"/>
      <c r="D438" s="169"/>
      <c r="E438" s="169"/>
      <c r="F438" s="169"/>
      <c r="G438" s="169"/>
      <c r="H438" s="169"/>
      <c r="I438" s="169"/>
      <c r="J438" s="169"/>
      <c r="K438" s="169"/>
      <c r="L438" s="169"/>
      <c r="M438" s="169"/>
      <c r="N438" s="169"/>
      <c r="O438" s="169"/>
      <c r="P438" s="169"/>
      <c r="Q438" s="169"/>
      <c r="R438" s="169"/>
      <c r="S438" s="169"/>
      <c r="T438" s="169"/>
      <c r="U438" s="169"/>
      <c r="V438" s="169"/>
      <c r="W438" s="169"/>
      <c r="X438" s="169"/>
      <c r="Y438" s="169"/>
      <c r="Z438" s="169"/>
    </row>
    <row r="439" spans="1:26" ht="15" x14ac:dyDescent="0.2">
      <c r="A439" s="169"/>
      <c r="B439" s="169"/>
      <c r="C439" s="169"/>
      <c r="D439" s="169"/>
      <c r="E439" s="169"/>
      <c r="F439" s="169"/>
      <c r="G439" s="169"/>
      <c r="H439" s="169"/>
      <c r="I439" s="169"/>
      <c r="J439" s="169"/>
      <c r="K439" s="169"/>
      <c r="L439" s="169"/>
      <c r="M439" s="169"/>
      <c r="N439" s="169"/>
      <c r="O439" s="169"/>
      <c r="P439" s="169"/>
      <c r="Q439" s="169"/>
      <c r="R439" s="169"/>
      <c r="S439" s="169"/>
      <c r="T439" s="169"/>
      <c r="U439" s="169"/>
      <c r="V439" s="169"/>
      <c r="W439" s="169"/>
      <c r="X439" s="169"/>
      <c r="Y439" s="169"/>
      <c r="Z439" s="169"/>
    </row>
    <row r="440" spans="1:26" ht="15" x14ac:dyDescent="0.2">
      <c r="A440" s="169"/>
      <c r="B440" s="169"/>
      <c r="C440" s="169"/>
      <c r="D440" s="169"/>
      <c r="E440" s="169"/>
      <c r="F440" s="169"/>
      <c r="G440" s="169"/>
      <c r="H440" s="169"/>
      <c r="I440" s="169"/>
      <c r="J440" s="169"/>
      <c r="K440" s="169"/>
      <c r="L440" s="169"/>
      <c r="M440" s="169"/>
      <c r="N440" s="169"/>
      <c r="O440" s="169"/>
      <c r="P440" s="169"/>
      <c r="Q440" s="169"/>
      <c r="R440" s="169"/>
      <c r="S440" s="169"/>
      <c r="T440" s="169"/>
      <c r="U440" s="169"/>
      <c r="V440" s="169"/>
      <c r="W440" s="169"/>
      <c r="X440" s="169"/>
      <c r="Y440" s="169"/>
      <c r="Z440" s="169"/>
    </row>
    <row r="441" spans="1:26" ht="15" x14ac:dyDescent="0.2">
      <c r="A441" s="169"/>
      <c r="B441" s="169"/>
      <c r="C441" s="169"/>
      <c r="D441" s="169"/>
      <c r="E441" s="169"/>
      <c r="F441" s="169"/>
      <c r="G441" s="169"/>
      <c r="H441" s="169"/>
      <c r="I441" s="169"/>
      <c r="J441" s="169"/>
      <c r="K441" s="169"/>
      <c r="L441" s="169"/>
      <c r="M441" s="169"/>
      <c r="N441" s="169"/>
      <c r="O441" s="169"/>
      <c r="P441" s="169"/>
      <c r="Q441" s="169"/>
      <c r="R441" s="169"/>
      <c r="S441" s="169"/>
      <c r="T441" s="169"/>
      <c r="U441" s="169"/>
      <c r="V441" s="169"/>
      <c r="W441" s="169"/>
      <c r="X441" s="169"/>
      <c r="Y441" s="169"/>
      <c r="Z441" s="169"/>
    </row>
    <row r="442" spans="1:26" ht="15" x14ac:dyDescent="0.2">
      <c r="A442" s="169"/>
      <c r="B442" s="169"/>
      <c r="C442" s="169"/>
      <c r="D442" s="169"/>
      <c r="E442" s="169"/>
      <c r="F442" s="169"/>
      <c r="G442" s="169"/>
      <c r="H442" s="169"/>
      <c r="I442" s="169"/>
      <c r="J442" s="169"/>
      <c r="K442" s="169"/>
      <c r="L442" s="169"/>
      <c r="M442" s="169"/>
      <c r="N442" s="169"/>
      <c r="O442" s="169"/>
      <c r="P442" s="169"/>
      <c r="Q442" s="169"/>
      <c r="R442" s="169"/>
      <c r="S442" s="169"/>
      <c r="T442" s="169"/>
      <c r="U442" s="169"/>
      <c r="V442" s="169"/>
      <c r="W442" s="169"/>
      <c r="X442" s="169"/>
      <c r="Y442" s="169"/>
      <c r="Z442" s="169"/>
    </row>
    <row r="443" spans="1:26" ht="15" x14ac:dyDescent="0.2">
      <c r="A443" s="169"/>
      <c r="B443" s="169"/>
      <c r="C443" s="169"/>
      <c r="D443" s="169"/>
      <c r="E443" s="169"/>
      <c r="F443" s="169"/>
      <c r="G443" s="169"/>
      <c r="H443" s="169"/>
      <c r="I443" s="169"/>
      <c r="J443" s="169"/>
      <c r="K443" s="169"/>
      <c r="L443" s="169"/>
      <c r="M443" s="169"/>
      <c r="N443" s="169"/>
      <c r="O443" s="169"/>
      <c r="P443" s="169"/>
      <c r="Q443" s="169"/>
      <c r="R443" s="169"/>
      <c r="S443" s="169"/>
      <c r="T443" s="169"/>
      <c r="U443" s="169"/>
      <c r="V443" s="169"/>
      <c r="W443" s="169"/>
      <c r="X443" s="169"/>
      <c r="Y443" s="169"/>
      <c r="Z443" s="169"/>
    </row>
    <row r="444" spans="1:26" ht="15" x14ac:dyDescent="0.2">
      <c r="A444" s="169"/>
      <c r="B444" s="169"/>
      <c r="C444" s="169"/>
      <c r="D444" s="169"/>
      <c r="E444" s="169"/>
      <c r="F444" s="169"/>
      <c r="G444" s="169"/>
      <c r="H444" s="169"/>
      <c r="I444" s="169"/>
      <c r="J444" s="169"/>
      <c r="K444" s="169"/>
      <c r="L444" s="169"/>
      <c r="M444" s="169"/>
      <c r="N444" s="169"/>
      <c r="O444" s="169"/>
      <c r="P444" s="169"/>
      <c r="Q444" s="169"/>
      <c r="R444" s="169"/>
      <c r="S444" s="169"/>
      <c r="T444" s="169"/>
      <c r="U444" s="169"/>
      <c r="V444" s="169"/>
      <c r="W444" s="169"/>
      <c r="X444" s="169"/>
      <c r="Y444" s="169"/>
      <c r="Z444" s="169"/>
    </row>
    <row r="445" spans="1:26" ht="15" x14ac:dyDescent="0.2">
      <c r="A445" s="169"/>
      <c r="B445" s="169"/>
      <c r="C445" s="169"/>
      <c r="D445" s="169"/>
      <c r="E445" s="169"/>
      <c r="F445" s="169"/>
      <c r="G445" s="169"/>
      <c r="H445" s="169"/>
      <c r="I445" s="169"/>
      <c r="J445" s="169"/>
      <c r="K445" s="169"/>
      <c r="L445" s="169"/>
      <c r="M445" s="169"/>
      <c r="N445" s="169"/>
      <c r="O445" s="169"/>
      <c r="P445" s="169"/>
      <c r="Q445" s="169"/>
      <c r="R445" s="169"/>
      <c r="S445" s="169"/>
      <c r="T445" s="169"/>
      <c r="U445" s="169"/>
      <c r="V445" s="169"/>
      <c r="W445" s="169"/>
      <c r="X445" s="169"/>
      <c r="Y445" s="169"/>
      <c r="Z445" s="169"/>
    </row>
    <row r="446" spans="1:26" ht="15" x14ac:dyDescent="0.2">
      <c r="A446" s="169"/>
      <c r="B446" s="169"/>
      <c r="C446" s="169"/>
      <c r="D446" s="169"/>
      <c r="E446" s="169"/>
      <c r="F446" s="169"/>
      <c r="G446" s="169"/>
      <c r="H446" s="169"/>
      <c r="I446" s="169"/>
      <c r="J446" s="169"/>
      <c r="K446" s="169"/>
      <c r="L446" s="169"/>
      <c r="M446" s="169"/>
      <c r="N446" s="169"/>
      <c r="O446" s="169"/>
      <c r="P446" s="169"/>
      <c r="Q446" s="169"/>
      <c r="R446" s="169"/>
      <c r="S446" s="169"/>
      <c r="T446" s="169"/>
      <c r="U446" s="169"/>
      <c r="V446" s="169"/>
      <c r="W446" s="169"/>
      <c r="X446" s="169"/>
      <c r="Y446" s="169"/>
      <c r="Z446" s="169"/>
    </row>
    <row r="447" spans="1:26" ht="15" x14ac:dyDescent="0.2">
      <c r="A447" s="169"/>
      <c r="B447" s="169"/>
      <c r="C447" s="169"/>
      <c r="D447" s="169"/>
      <c r="E447" s="169"/>
      <c r="F447" s="169"/>
      <c r="G447" s="169"/>
      <c r="H447" s="169"/>
      <c r="I447" s="169"/>
      <c r="J447" s="169"/>
      <c r="K447" s="169"/>
      <c r="L447" s="169"/>
      <c r="M447" s="169"/>
      <c r="N447" s="169"/>
      <c r="O447" s="169"/>
      <c r="P447" s="169"/>
      <c r="Q447" s="169"/>
      <c r="R447" s="169"/>
      <c r="S447" s="169"/>
      <c r="T447" s="169"/>
      <c r="U447" s="169"/>
      <c r="V447" s="169"/>
      <c r="W447" s="169"/>
      <c r="X447" s="169"/>
      <c r="Y447" s="169"/>
      <c r="Z447" s="169"/>
    </row>
    <row r="448" spans="1:26" ht="15" x14ac:dyDescent="0.2">
      <c r="A448" s="169"/>
      <c r="B448" s="169"/>
      <c r="C448" s="169"/>
      <c r="D448" s="169"/>
      <c r="E448" s="169"/>
      <c r="F448" s="169"/>
      <c r="G448" s="169"/>
      <c r="H448" s="169"/>
      <c r="I448" s="169"/>
      <c r="J448" s="169"/>
      <c r="K448" s="169"/>
      <c r="L448" s="169"/>
      <c r="M448" s="169"/>
      <c r="N448" s="169"/>
      <c r="O448" s="169"/>
      <c r="P448" s="169"/>
      <c r="Q448" s="169"/>
      <c r="R448" s="169"/>
      <c r="S448" s="169"/>
      <c r="T448" s="169"/>
      <c r="U448" s="169"/>
      <c r="V448" s="169"/>
      <c r="W448" s="169"/>
      <c r="X448" s="169"/>
      <c r="Y448" s="169"/>
      <c r="Z448" s="169"/>
    </row>
    <row r="449" spans="1:26" ht="15" x14ac:dyDescent="0.2">
      <c r="A449" s="169"/>
      <c r="B449" s="169"/>
      <c r="C449" s="169"/>
      <c r="D449" s="169"/>
      <c r="E449" s="169"/>
      <c r="F449" s="169"/>
      <c r="G449" s="169"/>
      <c r="H449" s="169"/>
      <c r="I449" s="169"/>
      <c r="J449" s="169"/>
      <c r="K449" s="169"/>
      <c r="L449" s="169"/>
      <c r="M449" s="169"/>
      <c r="N449" s="169"/>
      <c r="O449" s="169"/>
      <c r="P449" s="169"/>
      <c r="Q449" s="169"/>
      <c r="R449" s="169"/>
      <c r="S449" s="169"/>
      <c r="T449" s="169"/>
      <c r="U449" s="169"/>
      <c r="V449" s="169"/>
      <c r="W449" s="169"/>
      <c r="X449" s="169"/>
      <c r="Y449" s="169"/>
      <c r="Z449" s="169"/>
    </row>
    <row r="450" spans="1:26" ht="15" x14ac:dyDescent="0.2">
      <c r="A450" s="169"/>
      <c r="B450" s="169"/>
      <c r="C450" s="169"/>
      <c r="D450" s="169"/>
      <c r="E450" s="169"/>
      <c r="F450" s="169"/>
      <c r="G450" s="169"/>
      <c r="H450" s="169"/>
      <c r="I450" s="169"/>
      <c r="J450" s="169"/>
      <c r="K450" s="169"/>
      <c r="L450" s="169"/>
      <c r="M450" s="169"/>
      <c r="N450" s="169"/>
      <c r="O450" s="169"/>
      <c r="P450" s="169"/>
      <c r="Q450" s="169"/>
      <c r="R450" s="169"/>
      <c r="S450" s="169"/>
      <c r="T450" s="169"/>
      <c r="U450" s="169"/>
      <c r="V450" s="169"/>
      <c r="W450" s="169"/>
      <c r="X450" s="169"/>
      <c r="Y450" s="169"/>
      <c r="Z450" s="169"/>
    </row>
    <row r="451" spans="1:26" ht="15" x14ac:dyDescent="0.2">
      <c r="A451" s="169"/>
      <c r="B451" s="169"/>
      <c r="C451" s="169"/>
      <c r="D451" s="169"/>
      <c r="E451" s="169"/>
      <c r="F451" s="169"/>
      <c r="G451" s="169"/>
      <c r="H451" s="169"/>
      <c r="I451" s="169"/>
      <c r="J451" s="169"/>
      <c r="K451" s="169"/>
      <c r="L451" s="169"/>
      <c r="M451" s="169"/>
      <c r="N451" s="169"/>
      <c r="O451" s="169"/>
      <c r="P451" s="169"/>
      <c r="Q451" s="169"/>
      <c r="R451" s="169"/>
      <c r="S451" s="169"/>
      <c r="T451" s="169"/>
      <c r="U451" s="169"/>
      <c r="V451" s="169"/>
      <c r="W451" s="169"/>
      <c r="X451" s="169"/>
      <c r="Y451" s="169"/>
      <c r="Z451" s="169"/>
    </row>
    <row r="452" spans="1:26" ht="15" x14ac:dyDescent="0.2">
      <c r="A452" s="169"/>
      <c r="B452" s="169"/>
      <c r="C452" s="169"/>
      <c r="D452" s="169"/>
      <c r="E452" s="169"/>
      <c r="F452" s="169"/>
      <c r="G452" s="169"/>
      <c r="H452" s="169"/>
      <c r="I452" s="169"/>
      <c r="J452" s="169"/>
      <c r="K452" s="169"/>
      <c r="L452" s="169"/>
      <c r="M452" s="169"/>
      <c r="N452" s="169"/>
      <c r="O452" s="169"/>
      <c r="P452" s="169"/>
      <c r="Q452" s="169"/>
      <c r="R452" s="169"/>
      <c r="S452" s="169"/>
      <c r="T452" s="169"/>
      <c r="U452" s="169"/>
      <c r="V452" s="169"/>
      <c r="W452" s="169"/>
      <c r="X452" s="169"/>
      <c r="Y452" s="169"/>
      <c r="Z452" s="169"/>
    </row>
    <row r="453" spans="1:26" ht="15" x14ac:dyDescent="0.2">
      <c r="A453" s="169"/>
      <c r="B453" s="169"/>
      <c r="C453" s="169"/>
      <c r="D453" s="169"/>
      <c r="E453" s="169"/>
      <c r="F453" s="169"/>
      <c r="G453" s="169"/>
      <c r="H453" s="169"/>
      <c r="I453" s="169"/>
      <c r="J453" s="169"/>
      <c r="K453" s="169"/>
      <c r="L453" s="169"/>
      <c r="M453" s="169"/>
      <c r="N453" s="169"/>
      <c r="O453" s="169"/>
      <c r="P453" s="169"/>
      <c r="Q453" s="169"/>
      <c r="R453" s="169"/>
      <c r="S453" s="169"/>
      <c r="T453" s="169"/>
      <c r="U453" s="169"/>
      <c r="V453" s="169"/>
      <c r="W453" s="169"/>
      <c r="X453" s="169"/>
      <c r="Y453" s="169"/>
      <c r="Z453" s="169"/>
    </row>
    <row r="454" spans="1:26" ht="15" x14ac:dyDescent="0.2">
      <c r="A454" s="169"/>
      <c r="B454" s="169"/>
      <c r="C454" s="169"/>
      <c r="D454" s="169"/>
      <c r="E454" s="169"/>
      <c r="F454" s="169"/>
      <c r="G454" s="169"/>
      <c r="H454" s="169"/>
      <c r="I454" s="169"/>
      <c r="J454" s="169"/>
      <c r="K454" s="169"/>
      <c r="L454" s="169"/>
      <c r="M454" s="169"/>
      <c r="N454" s="169"/>
      <c r="O454" s="169"/>
      <c r="P454" s="169"/>
      <c r="Q454" s="169"/>
      <c r="R454" s="169"/>
      <c r="S454" s="169"/>
      <c r="T454" s="169"/>
      <c r="U454" s="169"/>
      <c r="V454" s="169"/>
      <c r="W454" s="169"/>
      <c r="X454" s="169"/>
      <c r="Y454" s="169"/>
      <c r="Z454" s="169"/>
    </row>
    <row r="455" spans="1:26" ht="15" x14ac:dyDescent="0.2">
      <c r="A455" s="169"/>
      <c r="B455" s="169"/>
      <c r="C455" s="169"/>
      <c r="D455" s="169"/>
      <c r="E455" s="169"/>
      <c r="F455" s="169"/>
      <c r="G455" s="169"/>
      <c r="H455" s="169"/>
      <c r="I455" s="169"/>
      <c r="J455" s="169"/>
      <c r="K455" s="169"/>
      <c r="L455" s="169"/>
      <c r="M455" s="169"/>
      <c r="N455" s="169"/>
      <c r="O455" s="169"/>
      <c r="P455" s="169"/>
      <c r="Q455" s="169"/>
      <c r="R455" s="169"/>
      <c r="S455" s="169"/>
      <c r="T455" s="169"/>
      <c r="U455" s="169"/>
      <c r="V455" s="169"/>
      <c r="W455" s="169"/>
      <c r="X455" s="169"/>
      <c r="Y455" s="169"/>
      <c r="Z455" s="169"/>
    </row>
    <row r="456" spans="1:26" ht="15" x14ac:dyDescent="0.2">
      <c r="A456" s="169"/>
      <c r="B456" s="169"/>
      <c r="C456" s="169"/>
      <c r="D456" s="169"/>
      <c r="E456" s="169"/>
      <c r="F456" s="169"/>
      <c r="G456" s="169"/>
      <c r="H456" s="169"/>
      <c r="I456" s="169"/>
      <c r="J456" s="169"/>
      <c r="K456" s="169"/>
      <c r="L456" s="169"/>
      <c r="M456" s="169"/>
      <c r="N456" s="169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</row>
    <row r="457" spans="1:26" ht="15" x14ac:dyDescent="0.2">
      <c r="A457" s="169"/>
      <c r="B457" s="169"/>
      <c r="C457" s="169"/>
      <c r="D457" s="169"/>
      <c r="E457" s="169"/>
      <c r="F457" s="169"/>
      <c r="G457" s="169"/>
      <c r="H457" s="169"/>
      <c r="I457" s="169"/>
      <c r="J457" s="169"/>
      <c r="K457" s="169"/>
      <c r="L457" s="169"/>
      <c r="M457" s="169"/>
      <c r="N457" s="169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</row>
    <row r="458" spans="1:26" ht="15" x14ac:dyDescent="0.2">
      <c r="A458" s="169"/>
      <c r="B458" s="169"/>
      <c r="C458" s="169"/>
      <c r="D458" s="169"/>
      <c r="E458" s="169"/>
      <c r="F458" s="169"/>
      <c r="G458" s="169"/>
      <c r="H458" s="169"/>
      <c r="I458" s="169"/>
      <c r="J458" s="169"/>
      <c r="K458" s="169"/>
      <c r="L458" s="169"/>
      <c r="M458" s="169"/>
      <c r="N458" s="169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</row>
    <row r="459" spans="1:26" ht="15" x14ac:dyDescent="0.2">
      <c r="A459" s="169"/>
      <c r="B459" s="169"/>
      <c r="C459" s="169"/>
      <c r="D459" s="169"/>
      <c r="E459" s="169"/>
      <c r="F459" s="169"/>
      <c r="G459" s="169"/>
      <c r="H459" s="169"/>
      <c r="I459" s="169"/>
      <c r="J459" s="169"/>
      <c r="K459" s="169"/>
      <c r="L459" s="169"/>
      <c r="M459" s="169"/>
      <c r="N459" s="169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</row>
    <row r="460" spans="1:26" ht="15" x14ac:dyDescent="0.2">
      <c r="A460" s="169"/>
      <c r="B460" s="169"/>
      <c r="C460" s="169"/>
      <c r="D460" s="169"/>
      <c r="E460" s="169"/>
      <c r="F460" s="169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</row>
    <row r="461" spans="1:26" ht="15" x14ac:dyDescent="0.2">
      <c r="A461" s="169"/>
      <c r="B461" s="169"/>
      <c r="C461" s="169"/>
      <c r="D461" s="169"/>
      <c r="E461" s="169"/>
      <c r="F461" s="169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</row>
    <row r="462" spans="1:26" ht="15" x14ac:dyDescent="0.2">
      <c r="A462" s="169"/>
      <c r="B462" s="169"/>
      <c r="C462" s="169"/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</row>
    <row r="463" spans="1:26" ht="15" x14ac:dyDescent="0.2">
      <c r="A463" s="169"/>
      <c r="B463" s="169"/>
      <c r="C463" s="169"/>
      <c r="D463" s="169"/>
      <c r="E463" s="169"/>
      <c r="F463" s="169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</row>
    <row r="464" spans="1:26" ht="15" x14ac:dyDescent="0.2">
      <c r="A464" s="169"/>
      <c r="B464" s="169"/>
      <c r="C464" s="169"/>
      <c r="D464" s="169"/>
      <c r="E464" s="169"/>
      <c r="F464" s="169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</row>
    <row r="465" spans="1:26" ht="15" x14ac:dyDescent="0.2">
      <c r="A465" s="169"/>
      <c r="B465" s="169"/>
      <c r="C465" s="169"/>
      <c r="D465" s="169"/>
      <c r="E465" s="169"/>
      <c r="F465" s="169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</row>
    <row r="466" spans="1:26" ht="15" x14ac:dyDescent="0.2">
      <c r="A466" s="169"/>
      <c r="B466" s="169"/>
      <c r="C466" s="169"/>
      <c r="D466" s="169"/>
      <c r="E466" s="169"/>
      <c r="F466" s="169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</row>
    <row r="467" spans="1:26" ht="15" x14ac:dyDescent="0.2">
      <c r="A467" s="169"/>
      <c r="B467" s="169"/>
      <c r="C467" s="169"/>
      <c r="D467" s="169"/>
      <c r="E467" s="169"/>
      <c r="F467" s="169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</row>
    <row r="468" spans="1:26" ht="15" x14ac:dyDescent="0.2">
      <c r="A468" s="169"/>
      <c r="B468" s="169"/>
      <c r="C468" s="169"/>
      <c r="D468" s="169"/>
      <c r="E468" s="169"/>
      <c r="F468" s="169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</row>
    <row r="469" spans="1:26" ht="15" x14ac:dyDescent="0.2">
      <c r="A469" s="169"/>
      <c r="B469" s="169"/>
      <c r="C469" s="169"/>
      <c r="D469" s="169"/>
      <c r="E469" s="169"/>
      <c r="F469" s="169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</row>
    <row r="470" spans="1:26" ht="15" x14ac:dyDescent="0.2">
      <c r="A470" s="169"/>
      <c r="B470" s="169"/>
      <c r="C470" s="169"/>
      <c r="D470" s="169"/>
      <c r="E470" s="169"/>
      <c r="F470" s="169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</row>
    <row r="471" spans="1:26" ht="15" x14ac:dyDescent="0.2">
      <c r="A471" s="169"/>
      <c r="B471" s="169"/>
      <c r="C471" s="169"/>
      <c r="D471" s="169"/>
      <c r="E471" s="169"/>
      <c r="F471" s="169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</row>
    <row r="472" spans="1:26" ht="15" x14ac:dyDescent="0.2">
      <c r="A472" s="169"/>
      <c r="B472" s="169"/>
      <c r="C472" s="169"/>
      <c r="D472" s="169"/>
      <c r="E472" s="169"/>
      <c r="F472" s="169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</row>
    <row r="473" spans="1:26" ht="15" x14ac:dyDescent="0.2">
      <c r="A473" s="169"/>
      <c r="B473" s="169"/>
      <c r="C473" s="169"/>
      <c r="D473" s="169"/>
      <c r="E473" s="169"/>
      <c r="F473" s="169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</row>
    <row r="474" spans="1:26" ht="15" x14ac:dyDescent="0.2">
      <c r="A474" s="169"/>
      <c r="B474" s="169"/>
      <c r="C474" s="169"/>
      <c r="D474" s="169"/>
      <c r="E474" s="169"/>
      <c r="F474" s="169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</row>
    <row r="475" spans="1:26" ht="15" x14ac:dyDescent="0.2">
      <c r="A475" s="169"/>
      <c r="B475" s="169"/>
      <c r="C475" s="169"/>
      <c r="D475" s="169"/>
      <c r="E475" s="169"/>
      <c r="F475" s="169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</row>
    <row r="476" spans="1:26" ht="15" x14ac:dyDescent="0.2">
      <c r="A476" s="169"/>
      <c r="B476" s="169"/>
      <c r="C476" s="169"/>
      <c r="D476" s="169"/>
      <c r="E476" s="169"/>
      <c r="F476" s="169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</row>
    <row r="477" spans="1:26" ht="15" x14ac:dyDescent="0.2">
      <c r="A477" s="169"/>
      <c r="B477" s="169"/>
      <c r="C477" s="169"/>
      <c r="D477" s="169"/>
      <c r="E477" s="169"/>
      <c r="F477" s="169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</row>
    <row r="478" spans="1:26" ht="15" x14ac:dyDescent="0.2">
      <c r="A478" s="169"/>
      <c r="B478" s="169"/>
      <c r="C478" s="169"/>
      <c r="D478" s="169"/>
      <c r="E478" s="169"/>
      <c r="F478" s="169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</row>
    <row r="479" spans="1:26" ht="15" x14ac:dyDescent="0.2">
      <c r="A479" s="169"/>
      <c r="B479" s="169"/>
      <c r="C479" s="169"/>
      <c r="D479" s="169"/>
      <c r="E479" s="169"/>
      <c r="F479" s="169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</row>
    <row r="480" spans="1:26" ht="15" x14ac:dyDescent="0.2">
      <c r="A480" s="169"/>
      <c r="B480" s="169"/>
      <c r="C480" s="169"/>
      <c r="D480" s="169"/>
      <c r="E480" s="169"/>
      <c r="F480" s="169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</row>
    <row r="481" spans="1:26" ht="15" x14ac:dyDescent="0.2">
      <c r="A481" s="169"/>
      <c r="B481" s="169"/>
      <c r="C481" s="169"/>
      <c r="D481" s="169"/>
      <c r="E481" s="169"/>
      <c r="F481" s="169"/>
      <c r="G481" s="169"/>
      <c r="H481" s="169"/>
      <c r="I481" s="169"/>
      <c r="J481" s="169"/>
      <c r="K481" s="169"/>
      <c r="L481" s="169"/>
      <c r="M481" s="169"/>
      <c r="N481" s="169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</row>
    <row r="482" spans="1:26" ht="15" x14ac:dyDescent="0.2">
      <c r="A482" s="169"/>
      <c r="B482" s="169"/>
      <c r="C482" s="169"/>
      <c r="D482" s="169"/>
      <c r="E482" s="169"/>
      <c r="F482" s="169"/>
      <c r="G482" s="169"/>
      <c r="H482" s="169"/>
      <c r="I482" s="169"/>
      <c r="J482" s="169"/>
      <c r="K482" s="169"/>
      <c r="L482" s="169"/>
      <c r="M482" s="169"/>
      <c r="N482" s="169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</row>
    <row r="483" spans="1:26" ht="15" x14ac:dyDescent="0.2">
      <c r="A483" s="169"/>
      <c r="B483" s="169"/>
      <c r="C483" s="169"/>
      <c r="D483" s="169"/>
      <c r="E483" s="169"/>
      <c r="F483" s="169"/>
      <c r="G483" s="169"/>
      <c r="H483" s="169"/>
      <c r="I483" s="169"/>
      <c r="J483" s="169"/>
      <c r="K483" s="169"/>
      <c r="L483" s="169"/>
      <c r="M483" s="169"/>
      <c r="N483" s="169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</row>
    <row r="484" spans="1:26" ht="15" x14ac:dyDescent="0.2">
      <c r="A484" s="169"/>
      <c r="B484" s="169"/>
      <c r="C484" s="169"/>
      <c r="D484" s="169"/>
      <c r="E484" s="169"/>
      <c r="F484" s="169"/>
      <c r="G484" s="169"/>
      <c r="H484" s="169"/>
      <c r="I484" s="169"/>
      <c r="J484" s="169"/>
      <c r="K484" s="169"/>
      <c r="L484" s="169"/>
      <c r="M484" s="169"/>
      <c r="N484" s="169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</row>
    <row r="485" spans="1:26" ht="15" x14ac:dyDescent="0.2">
      <c r="A485" s="169"/>
      <c r="B485" s="169"/>
      <c r="C485" s="169"/>
      <c r="D485" s="169"/>
      <c r="E485" s="169"/>
      <c r="F485" s="169"/>
      <c r="G485" s="169"/>
      <c r="H485" s="169"/>
      <c r="I485" s="169"/>
      <c r="J485" s="169"/>
      <c r="K485" s="169"/>
      <c r="L485" s="169"/>
      <c r="M485" s="169"/>
      <c r="N485" s="169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</row>
    <row r="486" spans="1:26" ht="15" x14ac:dyDescent="0.2">
      <c r="A486" s="169"/>
      <c r="B486" s="169"/>
      <c r="C486" s="169"/>
      <c r="D486" s="169"/>
      <c r="E486" s="169"/>
      <c r="F486" s="169"/>
      <c r="G486" s="169"/>
      <c r="H486" s="169"/>
      <c r="I486" s="169"/>
      <c r="J486" s="169"/>
      <c r="K486" s="169"/>
      <c r="L486" s="169"/>
      <c r="M486" s="169"/>
      <c r="N486" s="169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</row>
    <row r="487" spans="1:26" ht="15" x14ac:dyDescent="0.2">
      <c r="A487" s="169"/>
      <c r="B487" s="169"/>
      <c r="C487" s="169"/>
      <c r="D487" s="169"/>
      <c r="E487" s="169"/>
      <c r="F487" s="169"/>
      <c r="G487" s="169"/>
      <c r="H487" s="169"/>
      <c r="I487" s="169"/>
      <c r="J487" s="169"/>
      <c r="K487" s="169"/>
      <c r="L487" s="169"/>
      <c r="M487" s="169"/>
      <c r="N487" s="169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</row>
    <row r="488" spans="1:26" ht="15" x14ac:dyDescent="0.2">
      <c r="A488" s="169"/>
      <c r="B488" s="169"/>
      <c r="C488" s="169"/>
      <c r="D488" s="169"/>
      <c r="E488" s="169"/>
      <c r="F488" s="169"/>
      <c r="G488" s="169"/>
      <c r="H488" s="169"/>
      <c r="I488" s="169"/>
      <c r="J488" s="169"/>
      <c r="K488" s="169"/>
      <c r="L488" s="169"/>
      <c r="M488" s="169"/>
      <c r="N488" s="169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</row>
    <row r="489" spans="1:26" ht="15" x14ac:dyDescent="0.2">
      <c r="A489" s="169"/>
      <c r="B489" s="169"/>
      <c r="C489" s="169"/>
      <c r="D489" s="169"/>
      <c r="E489" s="169"/>
      <c r="F489" s="169"/>
      <c r="G489" s="169"/>
      <c r="H489" s="169"/>
      <c r="I489" s="169"/>
      <c r="J489" s="169"/>
      <c r="K489" s="169"/>
      <c r="L489" s="169"/>
      <c r="M489" s="169"/>
      <c r="N489" s="169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</row>
    <row r="490" spans="1:26" ht="15" x14ac:dyDescent="0.2">
      <c r="A490" s="169"/>
      <c r="B490" s="169"/>
      <c r="C490" s="169"/>
      <c r="D490" s="169"/>
      <c r="E490" s="169"/>
      <c r="F490" s="169"/>
      <c r="G490" s="169"/>
      <c r="H490" s="169"/>
      <c r="I490" s="169"/>
      <c r="J490" s="169"/>
      <c r="K490" s="169"/>
      <c r="L490" s="169"/>
      <c r="M490" s="169"/>
      <c r="N490" s="169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</row>
    <row r="491" spans="1:26" ht="15" x14ac:dyDescent="0.2">
      <c r="A491" s="169"/>
      <c r="B491" s="169"/>
      <c r="C491" s="169"/>
      <c r="D491" s="169"/>
      <c r="E491" s="169"/>
      <c r="F491" s="169"/>
      <c r="G491" s="169"/>
      <c r="H491" s="169"/>
      <c r="I491" s="169"/>
      <c r="J491" s="169"/>
      <c r="K491" s="169"/>
      <c r="L491" s="169"/>
      <c r="M491" s="169"/>
      <c r="N491" s="169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</row>
    <row r="492" spans="1:26" ht="15" x14ac:dyDescent="0.2">
      <c r="A492" s="169"/>
      <c r="B492" s="169"/>
      <c r="C492" s="169"/>
      <c r="D492" s="169"/>
      <c r="E492" s="169"/>
      <c r="F492" s="169"/>
      <c r="G492" s="169"/>
      <c r="H492" s="169"/>
      <c r="I492" s="169"/>
      <c r="J492" s="169"/>
      <c r="K492" s="169"/>
      <c r="L492" s="169"/>
      <c r="M492" s="169"/>
      <c r="N492" s="169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</row>
    <row r="493" spans="1:26" ht="15" x14ac:dyDescent="0.2">
      <c r="A493" s="169"/>
      <c r="B493" s="169"/>
      <c r="C493" s="169"/>
      <c r="D493" s="169"/>
      <c r="E493" s="169"/>
      <c r="F493" s="169"/>
      <c r="G493" s="169"/>
      <c r="H493" s="169"/>
      <c r="I493" s="169"/>
      <c r="J493" s="169"/>
      <c r="K493" s="169"/>
      <c r="L493" s="169"/>
      <c r="M493" s="169"/>
      <c r="N493" s="169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</row>
    <row r="494" spans="1:26" ht="15" x14ac:dyDescent="0.2">
      <c r="A494" s="169"/>
      <c r="B494" s="169"/>
      <c r="C494" s="169"/>
      <c r="D494" s="169"/>
      <c r="E494" s="169"/>
      <c r="F494" s="169"/>
      <c r="G494" s="169"/>
      <c r="H494" s="169"/>
      <c r="I494" s="169"/>
      <c r="J494" s="169"/>
      <c r="K494" s="169"/>
      <c r="L494" s="169"/>
      <c r="M494" s="169"/>
      <c r="N494" s="169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</row>
    <row r="495" spans="1:26" ht="15" x14ac:dyDescent="0.2">
      <c r="A495" s="169"/>
      <c r="B495" s="169"/>
      <c r="C495" s="169"/>
      <c r="D495" s="169"/>
      <c r="E495" s="169"/>
      <c r="F495" s="169"/>
      <c r="G495" s="169"/>
      <c r="H495" s="169"/>
      <c r="I495" s="169"/>
      <c r="J495" s="169"/>
      <c r="K495" s="169"/>
      <c r="L495" s="169"/>
      <c r="M495" s="169"/>
      <c r="N495" s="169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</row>
    <row r="496" spans="1:26" ht="15" x14ac:dyDescent="0.2">
      <c r="A496" s="169"/>
      <c r="B496" s="169"/>
      <c r="C496" s="169"/>
      <c r="D496" s="169"/>
      <c r="E496" s="169"/>
      <c r="F496" s="169"/>
      <c r="G496" s="169"/>
      <c r="H496" s="169"/>
      <c r="I496" s="169"/>
      <c r="J496" s="169"/>
      <c r="K496" s="169"/>
      <c r="L496" s="169"/>
      <c r="M496" s="169"/>
      <c r="N496" s="169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</row>
    <row r="497" spans="1:26" ht="15" x14ac:dyDescent="0.2">
      <c r="A497" s="169"/>
      <c r="B497" s="169"/>
      <c r="C497" s="169"/>
      <c r="D497" s="169"/>
      <c r="E497" s="169"/>
      <c r="F497" s="169"/>
      <c r="G497" s="169"/>
      <c r="H497" s="169"/>
      <c r="I497" s="169"/>
      <c r="J497" s="169"/>
      <c r="K497" s="169"/>
      <c r="L497" s="169"/>
      <c r="M497" s="169"/>
      <c r="N497" s="169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</row>
    <row r="498" spans="1:26" ht="15" x14ac:dyDescent="0.2">
      <c r="A498" s="169"/>
      <c r="B498" s="169"/>
      <c r="C498" s="169"/>
      <c r="D498" s="169"/>
      <c r="E498" s="169"/>
      <c r="F498" s="169"/>
      <c r="G498" s="169"/>
      <c r="H498" s="169"/>
      <c r="I498" s="169"/>
      <c r="J498" s="169"/>
      <c r="K498" s="169"/>
      <c r="L498" s="169"/>
      <c r="M498" s="169"/>
      <c r="N498" s="169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</row>
    <row r="499" spans="1:26" ht="15" x14ac:dyDescent="0.2">
      <c r="A499" s="169"/>
      <c r="B499" s="169"/>
      <c r="C499" s="169"/>
      <c r="D499" s="169"/>
      <c r="E499" s="169"/>
      <c r="F499" s="169"/>
      <c r="G499" s="169"/>
      <c r="H499" s="169"/>
      <c r="I499" s="169"/>
      <c r="J499" s="169"/>
      <c r="K499" s="169"/>
      <c r="L499" s="169"/>
      <c r="M499" s="169"/>
      <c r="N499" s="169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</row>
    <row r="500" spans="1:26" ht="15" x14ac:dyDescent="0.2">
      <c r="A500" s="169"/>
      <c r="B500" s="169"/>
      <c r="C500" s="169"/>
      <c r="D500" s="169"/>
      <c r="E500" s="169"/>
      <c r="F500" s="169"/>
      <c r="G500" s="169"/>
      <c r="H500" s="169"/>
      <c r="I500" s="169"/>
      <c r="J500" s="169"/>
      <c r="K500" s="169"/>
      <c r="L500" s="169"/>
      <c r="M500" s="169"/>
      <c r="N500" s="169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</row>
    <row r="501" spans="1:26" ht="15" x14ac:dyDescent="0.2">
      <c r="A501" s="169"/>
      <c r="B501" s="169"/>
      <c r="C501" s="169"/>
      <c r="D501" s="169"/>
      <c r="E501" s="169"/>
      <c r="F501" s="169"/>
      <c r="G501" s="169"/>
      <c r="H501" s="169"/>
      <c r="I501" s="169"/>
      <c r="J501" s="169"/>
      <c r="K501" s="169"/>
      <c r="L501" s="169"/>
      <c r="M501" s="169"/>
      <c r="N501" s="169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</row>
    <row r="502" spans="1:26" ht="15" x14ac:dyDescent="0.2">
      <c r="A502" s="169"/>
      <c r="B502" s="169"/>
      <c r="C502" s="169"/>
      <c r="D502" s="169"/>
      <c r="E502" s="169"/>
      <c r="F502" s="169"/>
      <c r="G502" s="169"/>
      <c r="H502" s="169"/>
      <c r="I502" s="169"/>
      <c r="J502" s="169"/>
      <c r="K502" s="169"/>
      <c r="L502" s="169"/>
      <c r="M502" s="169"/>
      <c r="N502" s="169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</row>
    <row r="503" spans="1:26" ht="15" x14ac:dyDescent="0.2">
      <c r="A503" s="169"/>
      <c r="B503" s="169"/>
      <c r="C503" s="169"/>
      <c r="D503" s="169"/>
      <c r="E503" s="169"/>
      <c r="F503" s="169"/>
      <c r="G503" s="169"/>
      <c r="H503" s="169"/>
      <c r="I503" s="169"/>
      <c r="J503" s="169"/>
      <c r="K503" s="169"/>
      <c r="L503" s="169"/>
      <c r="M503" s="169"/>
      <c r="N503" s="169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</row>
    <row r="504" spans="1:26" ht="15" x14ac:dyDescent="0.2">
      <c r="A504" s="169"/>
      <c r="B504" s="169"/>
      <c r="C504" s="169"/>
      <c r="D504" s="169"/>
      <c r="E504" s="169"/>
      <c r="F504" s="169"/>
      <c r="G504" s="169"/>
      <c r="H504" s="169"/>
      <c r="I504" s="169"/>
      <c r="J504" s="169"/>
      <c r="K504" s="169"/>
      <c r="L504" s="169"/>
      <c r="M504" s="169"/>
      <c r="N504" s="169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</row>
    <row r="505" spans="1:26" ht="15" x14ac:dyDescent="0.2">
      <c r="A505" s="169"/>
      <c r="B505" s="169"/>
      <c r="C505" s="169"/>
      <c r="D505" s="169"/>
      <c r="E505" s="169"/>
      <c r="F505" s="169"/>
      <c r="G505" s="169"/>
      <c r="H505" s="169"/>
      <c r="I505" s="169"/>
      <c r="J505" s="169"/>
      <c r="K505" s="169"/>
      <c r="L505" s="169"/>
      <c r="M505" s="169"/>
      <c r="N505" s="169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</row>
    <row r="506" spans="1:26" ht="15" x14ac:dyDescent="0.2">
      <c r="A506" s="169"/>
      <c r="B506" s="169"/>
      <c r="C506" s="169"/>
      <c r="D506" s="169"/>
      <c r="E506" s="169"/>
      <c r="F506" s="169"/>
      <c r="G506" s="169"/>
      <c r="H506" s="169"/>
      <c r="I506" s="169"/>
      <c r="J506" s="169"/>
      <c r="K506" s="169"/>
      <c r="L506" s="169"/>
      <c r="M506" s="169"/>
      <c r="N506" s="169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</row>
    <row r="507" spans="1:26" ht="15" x14ac:dyDescent="0.2">
      <c r="A507" s="169"/>
      <c r="B507" s="169"/>
      <c r="C507" s="169"/>
      <c r="D507" s="169"/>
      <c r="E507" s="169"/>
      <c r="F507" s="169"/>
      <c r="G507" s="169"/>
      <c r="H507" s="169"/>
      <c r="I507" s="169"/>
      <c r="J507" s="169"/>
      <c r="K507" s="169"/>
      <c r="L507" s="169"/>
      <c r="M507" s="169"/>
      <c r="N507" s="169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</row>
    <row r="508" spans="1:26" ht="15" x14ac:dyDescent="0.2">
      <c r="A508" s="169"/>
      <c r="B508" s="169"/>
      <c r="C508" s="169"/>
      <c r="D508" s="169"/>
      <c r="E508" s="169"/>
      <c r="F508" s="169"/>
      <c r="G508" s="169"/>
      <c r="H508" s="169"/>
      <c r="I508" s="169"/>
      <c r="J508" s="169"/>
      <c r="K508" s="169"/>
      <c r="L508" s="169"/>
      <c r="M508" s="169"/>
      <c r="N508" s="169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</row>
    <row r="509" spans="1:26" ht="15" x14ac:dyDescent="0.2">
      <c r="A509" s="169"/>
      <c r="B509" s="169"/>
      <c r="C509" s="169"/>
      <c r="D509" s="169"/>
      <c r="E509" s="169"/>
      <c r="F509" s="169"/>
      <c r="G509" s="169"/>
      <c r="H509" s="169"/>
      <c r="I509" s="169"/>
      <c r="J509" s="169"/>
      <c r="K509" s="169"/>
      <c r="L509" s="169"/>
      <c r="M509" s="169"/>
      <c r="N509" s="169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</row>
    <row r="510" spans="1:26" ht="15" x14ac:dyDescent="0.2">
      <c r="A510" s="169"/>
      <c r="B510" s="169"/>
      <c r="C510" s="169"/>
      <c r="D510" s="169"/>
      <c r="E510" s="169"/>
      <c r="F510" s="169"/>
      <c r="G510" s="169"/>
      <c r="H510" s="169"/>
      <c r="I510" s="169"/>
      <c r="J510" s="169"/>
      <c r="K510" s="169"/>
      <c r="L510" s="169"/>
      <c r="M510" s="169"/>
      <c r="N510" s="169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</row>
    <row r="511" spans="1:26" ht="15" x14ac:dyDescent="0.2">
      <c r="A511" s="169"/>
      <c r="B511" s="169"/>
      <c r="C511" s="169"/>
      <c r="D511" s="169"/>
      <c r="E511" s="169"/>
      <c r="F511" s="169"/>
      <c r="G511" s="169"/>
      <c r="H511" s="169"/>
      <c r="I511" s="169"/>
      <c r="J511" s="169"/>
      <c r="K511" s="169"/>
      <c r="L511" s="169"/>
      <c r="M511" s="169"/>
      <c r="N511" s="169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</row>
    <row r="512" spans="1:26" ht="15" x14ac:dyDescent="0.2">
      <c r="A512" s="169"/>
      <c r="B512" s="169"/>
      <c r="C512" s="169"/>
      <c r="D512" s="169"/>
      <c r="E512" s="169"/>
      <c r="F512" s="169"/>
      <c r="G512" s="169"/>
      <c r="H512" s="169"/>
      <c r="I512" s="169"/>
      <c r="J512" s="169"/>
      <c r="K512" s="169"/>
      <c r="L512" s="169"/>
      <c r="M512" s="169"/>
      <c r="N512" s="169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</row>
    <row r="513" spans="1:26" ht="15" x14ac:dyDescent="0.2">
      <c r="A513" s="169"/>
      <c r="B513" s="169"/>
      <c r="C513" s="169"/>
      <c r="D513" s="169"/>
      <c r="E513" s="169"/>
      <c r="F513" s="169"/>
      <c r="G513" s="169"/>
      <c r="H513" s="169"/>
      <c r="I513" s="169"/>
      <c r="J513" s="169"/>
      <c r="K513" s="169"/>
      <c r="L513" s="169"/>
      <c r="M513" s="169"/>
      <c r="N513" s="169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</row>
    <row r="514" spans="1:26" ht="15" x14ac:dyDescent="0.2">
      <c r="A514" s="169"/>
      <c r="B514" s="169"/>
      <c r="C514" s="169"/>
      <c r="D514" s="169"/>
      <c r="E514" s="169"/>
      <c r="F514" s="169"/>
      <c r="G514" s="169"/>
      <c r="H514" s="169"/>
      <c r="I514" s="169"/>
      <c r="J514" s="169"/>
      <c r="K514" s="169"/>
      <c r="L514" s="169"/>
      <c r="M514" s="169"/>
      <c r="N514" s="169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</row>
    <row r="515" spans="1:26" ht="15" x14ac:dyDescent="0.2">
      <c r="A515" s="169"/>
      <c r="B515" s="169"/>
      <c r="C515" s="169"/>
      <c r="D515" s="169"/>
      <c r="E515" s="169"/>
      <c r="F515" s="169"/>
      <c r="G515" s="169"/>
      <c r="H515" s="169"/>
      <c r="I515" s="169"/>
      <c r="J515" s="169"/>
      <c r="K515" s="169"/>
      <c r="L515" s="169"/>
      <c r="M515" s="169"/>
      <c r="N515" s="169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</row>
    <row r="516" spans="1:26" ht="15" x14ac:dyDescent="0.2">
      <c r="A516" s="169"/>
      <c r="B516" s="169"/>
      <c r="C516" s="169"/>
      <c r="D516" s="169"/>
      <c r="E516" s="169"/>
      <c r="F516" s="169"/>
      <c r="G516" s="169"/>
      <c r="H516" s="169"/>
      <c r="I516" s="169"/>
      <c r="J516" s="169"/>
      <c r="K516" s="169"/>
      <c r="L516" s="169"/>
      <c r="M516" s="169"/>
      <c r="N516" s="169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</row>
    <row r="517" spans="1:26" ht="15" x14ac:dyDescent="0.2">
      <c r="A517" s="169"/>
      <c r="B517" s="169"/>
      <c r="C517" s="169"/>
      <c r="D517" s="169"/>
      <c r="E517" s="169"/>
      <c r="F517" s="169"/>
      <c r="G517" s="169"/>
      <c r="H517" s="169"/>
      <c r="I517" s="169"/>
      <c r="J517" s="169"/>
      <c r="K517" s="169"/>
      <c r="L517" s="169"/>
      <c r="M517" s="169"/>
      <c r="N517" s="169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</row>
    <row r="518" spans="1:26" ht="15" x14ac:dyDescent="0.2">
      <c r="A518" s="169"/>
      <c r="B518" s="169"/>
      <c r="C518" s="169"/>
      <c r="D518" s="169"/>
      <c r="E518" s="169"/>
      <c r="F518" s="169"/>
      <c r="G518" s="169"/>
      <c r="H518" s="169"/>
      <c r="I518" s="169"/>
      <c r="J518" s="169"/>
      <c r="K518" s="169"/>
      <c r="L518" s="169"/>
      <c r="M518" s="169"/>
      <c r="N518" s="169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</row>
    <row r="519" spans="1:26" ht="15" x14ac:dyDescent="0.2">
      <c r="A519" s="169"/>
      <c r="B519" s="169"/>
      <c r="C519" s="169"/>
      <c r="D519" s="169"/>
      <c r="E519" s="169"/>
      <c r="F519" s="169"/>
      <c r="G519" s="169"/>
      <c r="H519" s="169"/>
      <c r="I519" s="169"/>
      <c r="J519" s="169"/>
      <c r="K519" s="169"/>
      <c r="L519" s="169"/>
      <c r="M519" s="169"/>
      <c r="N519" s="169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</row>
    <row r="520" spans="1:26" ht="15" x14ac:dyDescent="0.2">
      <c r="A520" s="169"/>
      <c r="B520" s="169"/>
      <c r="C520" s="169"/>
      <c r="D520" s="169"/>
      <c r="E520" s="169"/>
      <c r="F520" s="169"/>
      <c r="G520" s="169"/>
      <c r="H520" s="169"/>
      <c r="I520" s="169"/>
      <c r="J520" s="169"/>
      <c r="K520" s="169"/>
      <c r="L520" s="169"/>
      <c r="M520" s="169"/>
      <c r="N520" s="169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</row>
    <row r="521" spans="1:26" ht="15" x14ac:dyDescent="0.2">
      <c r="A521" s="169"/>
      <c r="B521" s="169"/>
      <c r="C521" s="169"/>
      <c r="D521" s="169"/>
      <c r="E521" s="169"/>
      <c r="F521" s="169"/>
      <c r="G521" s="169"/>
      <c r="H521" s="169"/>
      <c r="I521" s="169"/>
      <c r="J521" s="169"/>
      <c r="K521" s="169"/>
      <c r="L521" s="169"/>
      <c r="M521" s="169"/>
      <c r="N521" s="169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</row>
    <row r="522" spans="1:26" ht="15" x14ac:dyDescent="0.2">
      <c r="A522" s="169"/>
      <c r="B522" s="169"/>
      <c r="C522" s="169"/>
      <c r="D522" s="169"/>
      <c r="E522" s="169"/>
      <c r="F522" s="169"/>
      <c r="G522" s="169"/>
      <c r="H522" s="169"/>
      <c r="I522" s="169"/>
      <c r="J522" s="169"/>
      <c r="K522" s="169"/>
      <c r="L522" s="169"/>
      <c r="M522" s="169"/>
      <c r="N522" s="169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</row>
    <row r="523" spans="1:26" ht="15" x14ac:dyDescent="0.2">
      <c r="A523" s="169"/>
      <c r="B523" s="169"/>
      <c r="C523" s="169"/>
      <c r="D523" s="169"/>
      <c r="E523" s="169"/>
      <c r="F523" s="169"/>
      <c r="G523" s="169"/>
      <c r="H523" s="169"/>
      <c r="I523" s="169"/>
      <c r="J523" s="169"/>
      <c r="K523" s="169"/>
      <c r="L523" s="169"/>
      <c r="M523" s="169"/>
      <c r="N523" s="169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</row>
    <row r="524" spans="1:26" ht="15" x14ac:dyDescent="0.2">
      <c r="A524" s="169"/>
      <c r="B524" s="169"/>
      <c r="C524" s="169"/>
      <c r="D524" s="169"/>
      <c r="E524" s="169"/>
      <c r="F524" s="169"/>
      <c r="G524" s="169"/>
      <c r="H524" s="169"/>
      <c r="I524" s="169"/>
      <c r="J524" s="169"/>
      <c r="K524" s="169"/>
      <c r="L524" s="169"/>
      <c r="M524" s="169"/>
      <c r="N524" s="169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</row>
    <row r="525" spans="1:26" ht="15" x14ac:dyDescent="0.2">
      <c r="A525" s="169"/>
      <c r="B525" s="169"/>
      <c r="C525" s="169"/>
      <c r="D525" s="169"/>
      <c r="E525" s="169"/>
      <c r="F525" s="169"/>
      <c r="G525" s="169"/>
      <c r="H525" s="169"/>
      <c r="I525" s="169"/>
      <c r="J525" s="169"/>
      <c r="K525" s="169"/>
      <c r="L525" s="169"/>
      <c r="M525" s="169"/>
      <c r="N525" s="169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</row>
    <row r="526" spans="1:26" ht="15" x14ac:dyDescent="0.2">
      <c r="A526" s="169"/>
      <c r="B526" s="169"/>
      <c r="C526" s="169"/>
      <c r="D526" s="169"/>
      <c r="E526" s="169"/>
      <c r="F526" s="169"/>
      <c r="G526" s="169"/>
      <c r="H526" s="169"/>
      <c r="I526" s="169"/>
      <c r="J526" s="169"/>
      <c r="K526" s="169"/>
      <c r="L526" s="169"/>
      <c r="M526" s="169"/>
      <c r="N526" s="169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</row>
    <row r="527" spans="1:26" ht="15" x14ac:dyDescent="0.2">
      <c r="A527" s="169"/>
      <c r="B527" s="169"/>
      <c r="C527" s="169"/>
      <c r="D527" s="169"/>
      <c r="E527" s="169"/>
      <c r="F527" s="169"/>
      <c r="G527" s="169"/>
      <c r="H527" s="169"/>
      <c r="I527" s="169"/>
      <c r="J527" s="169"/>
      <c r="K527" s="169"/>
      <c r="L527" s="169"/>
      <c r="M527" s="169"/>
      <c r="N527" s="169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</row>
    <row r="528" spans="1:26" ht="15" x14ac:dyDescent="0.2">
      <c r="A528" s="169"/>
      <c r="B528" s="169"/>
      <c r="C528" s="169"/>
      <c r="D528" s="169"/>
      <c r="E528" s="169"/>
      <c r="F528" s="169"/>
      <c r="G528" s="169"/>
      <c r="H528" s="169"/>
      <c r="I528" s="169"/>
      <c r="J528" s="169"/>
      <c r="K528" s="169"/>
      <c r="L528" s="169"/>
      <c r="M528" s="169"/>
      <c r="N528" s="169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</row>
    <row r="529" spans="1:26" ht="15" x14ac:dyDescent="0.2">
      <c r="A529" s="169"/>
      <c r="B529" s="169"/>
      <c r="C529" s="169"/>
      <c r="D529" s="169"/>
      <c r="E529" s="169"/>
      <c r="F529" s="169"/>
      <c r="G529" s="169"/>
      <c r="H529" s="169"/>
      <c r="I529" s="169"/>
      <c r="J529" s="169"/>
      <c r="K529" s="169"/>
      <c r="L529" s="169"/>
      <c r="M529" s="169"/>
      <c r="N529" s="169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</row>
    <row r="530" spans="1:26" ht="15" x14ac:dyDescent="0.2">
      <c r="A530" s="169"/>
      <c r="B530" s="169"/>
      <c r="C530" s="169"/>
      <c r="D530" s="169"/>
      <c r="E530" s="169"/>
      <c r="F530" s="169"/>
      <c r="G530" s="169"/>
      <c r="H530" s="169"/>
      <c r="I530" s="169"/>
      <c r="J530" s="169"/>
      <c r="K530" s="169"/>
      <c r="L530" s="169"/>
      <c r="M530" s="169"/>
      <c r="N530" s="169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</row>
    <row r="531" spans="1:26" ht="15" x14ac:dyDescent="0.2">
      <c r="A531" s="169"/>
      <c r="B531" s="169"/>
      <c r="C531" s="169"/>
      <c r="D531" s="169"/>
      <c r="E531" s="169"/>
      <c r="F531" s="169"/>
      <c r="G531" s="169"/>
      <c r="H531" s="169"/>
      <c r="I531" s="169"/>
      <c r="J531" s="169"/>
      <c r="K531" s="169"/>
      <c r="L531" s="169"/>
      <c r="M531" s="169"/>
      <c r="N531" s="169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</row>
    <row r="532" spans="1:26" ht="15" x14ac:dyDescent="0.2">
      <c r="A532" s="169"/>
      <c r="B532" s="169"/>
      <c r="C532" s="169"/>
      <c r="D532" s="169"/>
      <c r="E532" s="169"/>
      <c r="F532" s="169"/>
      <c r="G532" s="169"/>
      <c r="H532" s="169"/>
      <c r="I532" s="169"/>
      <c r="J532" s="169"/>
      <c r="K532" s="169"/>
      <c r="L532" s="169"/>
      <c r="M532" s="169"/>
      <c r="N532" s="169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</row>
    <row r="533" spans="1:26" ht="15" x14ac:dyDescent="0.2">
      <c r="A533" s="169"/>
      <c r="B533" s="169"/>
      <c r="C533" s="169"/>
      <c r="D533" s="169"/>
      <c r="E533" s="169"/>
      <c r="F533" s="169"/>
      <c r="G533" s="169"/>
      <c r="H533" s="169"/>
      <c r="I533" s="169"/>
      <c r="J533" s="169"/>
      <c r="K533" s="169"/>
      <c r="L533" s="169"/>
      <c r="M533" s="169"/>
      <c r="N533" s="169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</row>
    <row r="534" spans="1:26" ht="15" x14ac:dyDescent="0.2">
      <c r="A534" s="169"/>
      <c r="B534" s="169"/>
      <c r="C534" s="169"/>
      <c r="D534" s="169"/>
      <c r="E534" s="169"/>
      <c r="F534" s="169"/>
      <c r="G534" s="169"/>
      <c r="H534" s="169"/>
      <c r="I534" s="169"/>
      <c r="J534" s="169"/>
      <c r="K534" s="169"/>
      <c r="L534" s="169"/>
      <c r="M534" s="169"/>
      <c r="N534" s="169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</row>
    <row r="535" spans="1:26" ht="15" x14ac:dyDescent="0.2">
      <c r="A535" s="169"/>
      <c r="B535" s="169"/>
      <c r="C535" s="169"/>
      <c r="D535" s="169"/>
      <c r="E535" s="169"/>
      <c r="F535" s="169"/>
      <c r="G535" s="169"/>
      <c r="H535" s="169"/>
      <c r="I535" s="169"/>
      <c r="J535" s="169"/>
      <c r="K535" s="169"/>
      <c r="L535" s="169"/>
      <c r="M535" s="169"/>
      <c r="N535" s="169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</row>
    <row r="536" spans="1:26" ht="15" x14ac:dyDescent="0.2">
      <c r="A536" s="169"/>
      <c r="B536" s="169"/>
      <c r="C536" s="169"/>
      <c r="D536" s="169"/>
      <c r="E536" s="169"/>
      <c r="F536" s="169"/>
      <c r="G536" s="169"/>
      <c r="H536" s="169"/>
      <c r="I536" s="169"/>
      <c r="J536" s="169"/>
      <c r="K536" s="169"/>
      <c r="L536" s="169"/>
      <c r="M536" s="169"/>
      <c r="N536" s="169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</row>
    <row r="537" spans="1:26" ht="15" x14ac:dyDescent="0.2">
      <c r="A537" s="169"/>
      <c r="B537" s="169"/>
      <c r="C537" s="169"/>
      <c r="D537" s="169"/>
      <c r="E537" s="169"/>
      <c r="F537" s="169"/>
      <c r="G537" s="169"/>
      <c r="H537" s="169"/>
      <c r="I537" s="169"/>
      <c r="J537" s="169"/>
      <c r="K537" s="169"/>
      <c r="L537" s="169"/>
      <c r="M537" s="169"/>
      <c r="N537" s="169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</row>
    <row r="538" spans="1:26" ht="15" x14ac:dyDescent="0.2">
      <c r="A538" s="169"/>
      <c r="B538" s="169"/>
      <c r="C538" s="169"/>
      <c r="D538" s="169"/>
      <c r="E538" s="169"/>
      <c r="F538" s="169"/>
      <c r="G538" s="169"/>
      <c r="H538" s="169"/>
      <c r="I538" s="169"/>
      <c r="J538" s="169"/>
      <c r="K538" s="169"/>
      <c r="L538" s="169"/>
      <c r="M538" s="169"/>
      <c r="N538" s="169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</row>
    <row r="539" spans="1:26" ht="15" x14ac:dyDescent="0.2">
      <c r="A539" s="169"/>
      <c r="B539" s="169"/>
      <c r="C539" s="169"/>
      <c r="D539" s="169"/>
      <c r="E539" s="169"/>
      <c r="F539" s="169"/>
      <c r="G539" s="169"/>
      <c r="H539" s="169"/>
      <c r="I539" s="169"/>
      <c r="J539" s="169"/>
      <c r="K539" s="169"/>
      <c r="L539" s="169"/>
      <c r="M539" s="169"/>
      <c r="N539" s="169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</row>
    <row r="540" spans="1:26" ht="15" x14ac:dyDescent="0.2">
      <c r="A540" s="169"/>
      <c r="B540" s="169"/>
      <c r="C540" s="169"/>
      <c r="D540" s="169"/>
      <c r="E540" s="169"/>
      <c r="F540" s="169"/>
      <c r="G540" s="169"/>
      <c r="H540" s="169"/>
      <c r="I540" s="169"/>
      <c r="J540" s="169"/>
      <c r="K540" s="169"/>
      <c r="L540" s="169"/>
      <c r="M540" s="169"/>
      <c r="N540" s="169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</row>
    <row r="541" spans="1:26" ht="15" x14ac:dyDescent="0.2">
      <c r="A541" s="169"/>
      <c r="B541" s="169"/>
      <c r="C541" s="169"/>
      <c r="D541" s="169"/>
      <c r="E541" s="169"/>
      <c r="F541" s="169"/>
      <c r="G541" s="169"/>
      <c r="H541" s="169"/>
      <c r="I541" s="169"/>
      <c r="J541" s="169"/>
      <c r="K541" s="169"/>
      <c r="L541" s="169"/>
      <c r="M541" s="169"/>
      <c r="N541" s="169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</row>
    <row r="542" spans="1:26" ht="15" x14ac:dyDescent="0.2">
      <c r="A542" s="169"/>
      <c r="B542" s="169"/>
      <c r="C542" s="169"/>
      <c r="D542" s="169"/>
      <c r="E542" s="169"/>
      <c r="F542" s="169"/>
      <c r="G542" s="169"/>
      <c r="H542" s="169"/>
      <c r="I542" s="169"/>
      <c r="J542" s="169"/>
      <c r="K542" s="169"/>
      <c r="L542" s="169"/>
      <c r="M542" s="169"/>
      <c r="N542" s="169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</row>
    <row r="543" spans="1:26" ht="15" x14ac:dyDescent="0.2">
      <c r="A543" s="169"/>
      <c r="B543" s="169"/>
      <c r="C543" s="169"/>
      <c r="D543" s="169"/>
      <c r="E543" s="169"/>
      <c r="F543" s="169"/>
      <c r="G543" s="169"/>
      <c r="H543" s="169"/>
      <c r="I543" s="169"/>
      <c r="J543" s="169"/>
      <c r="K543" s="169"/>
      <c r="L543" s="169"/>
      <c r="M543" s="169"/>
      <c r="N543" s="169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</row>
    <row r="544" spans="1:26" ht="15" x14ac:dyDescent="0.2">
      <c r="A544" s="169"/>
      <c r="B544" s="169"/>
      <c r="C544" s="169"/>
      <c r="D544" s="169"/>
      <c r="E544" s="169"/>
      <c r="F544" s="169"/>
      <c r="G544" s="169"/>
      <c r="H544" s="169"/>
      <c r="I544" s="169"/>
      <c r="J544" s="169"/>
      <c r="K544" s="169"/>
      <c r="L544" s="169"/>
      <c r="M544" s="169"/>
      <c r="N544" s="169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</row>
    <row r="545" spans="1:26" ht="15" x14ac:dyDescent="0.2">
      <c r="A545" s="169"/>
      <c r="B545" s="169"/>
      <c r="C545" s="169"/>
      <c r="D545" s="169"/>
      <c r="E545" s="169"/>
      <c r="F545" s="169"/>
      <c r="G545" s="169"/>
      <c r="H545" s="169"/>
      <c r="I545" s="169"/>
      <c r="J545" s="169"/>
      <c r="K545" s="169"/>
      <c r="L545" s="169"/>
      <c r="M545" s="169"/>
      <c r="N545" s="169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</row>
    <row r="546" spans="1:26" ht="15" x14ac:dyDescent="0.2">
      <c r="A546" s="169"/>
      <c r="B546" s="169"/>
      <c r="C546" s="169"/>
      <c r="D546" s="169"/>
      <c r="E546" s="169"/>
      <c r="F546" s="169"/>
      <c r="G546" s="169"/>
      <c r="H546" s="169"/>
      <c r="I546" s="169"/>
      <c r="J546" s="169"/>
      <c r="K546" s="169"/>
      <c r="L546" s="169"/>
      <c r="M546" s="169"/>
      <c r="N546" s="169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</row>
    <row r="547" spans="1:26" ht="15" x14ac:dyDescent="0.2">
      <c r="A547" s="169"/>
      <c r="B547" s="169"/>
      <c r="C547" s="169"/>
      <c r="D547" s="169"/>
      <c r="E547" s="169"/>
      <c r="F547" s="169"/>
      <c r="G547" s="169"/>
      <c r="H547" s="169"/>
      <c r="I547" s="169"/>
      <c r="J547" s="169"/>
      <c r="K547" s="169"/>
      <c r="L547" s="169"/>
      <c r="M547" s="169"/>
      <c r="N547" s="169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</row>
    <row r="548" spans="1:26" ht="15" x14ac:dyDescent="0.2">
      <c r="A548" s="169"/>
      <c r="B548" s="169"/>
      <c r="C548" s="169"/>
      <c r="D548" s="169"/>
      <c r="E548" s="169"/>
      <c r="F548" s="169"/>
      <c r="G548" s="169"/>
      <c r="H548" s="169"/>
      <c r="I548" s="169"/>
      <c r="J548" s="169"/>
      <c r="K548" s="169"/>
      <c r="L548" s="169"/>
      <c r="M548" s="169"/>
      <c r="N548" s="169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</row>
    <row r="549" spans="1:26" ht="15" x14ac:dyDescent="0.2">
      <c r="A549" s="169"/>
      <c r="B549" s="169"/>
      <c r="C549" s="169"/>
      <c r="D549" s="169"/>
      <c r="E549" s="169"/>
      <c r="F549" s="169"/>
      <c r="G549" s="169"/>
      <c r="H549" s="169"/>
      <c r="I549" s="169"/>
      <c r="J549" s="169"/>
      <c r="K549" s="169"/>
      <c r="L549" s="169"/>
      <c r="M549" s="169"/>
      <c r="N549" s="169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</row>
    <row r="550" spans="1:26" ht="15" x14ac:dyDescent="0.2">
      <c r="A550" s="169"/>
      <c r="B550" s="169"/>
      <c r="C550" s="169"/>
      <c r="D550" s="169"/>
      <c r="E550" s="169"/>
      <c r="F550" s="169"/>
      <c r="G550" s="169"/>
      <c r="H550" s="169"/>
      <c r="I550" s="169"/>
      <c r="J550" s="169"/>
      <c r="K550" s="169"/>
      <c r="L550" s="169"/>
      <c r="M550" s="169"/>
      <c r="N550" s="169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</row>
    <row r="551" spans="1:26" ht="15" x14ac:dyDescent="0.2">
      <c r="A551" s="169"/>
      <c r="B551" s="169"/>
      <c r="C551" s="169"/>
      <c r="D551" s="169"/>
      <c r="E551" s="169"/>
      <c r="F551" s="169"/>
      <c r="G551" s="169"/>
      <c r="H551" s="169"/>
      <c r="I551" s="169"/>
      <c r="J551" s="169"/>
      <c r="K551" s="169"/>
      <c r="L551" s="169"/>
      <c r="M551" s="169"/>
      <c r="N551" s="169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</row>
    <row r="552" spans="1:26" ht="15" x14ac:dyDescent="0.2">
      <c r="A552" s="169"/>
      <c r="B552" s="169"/>
      <c r="C552" s="169"/>
      <c r="D552" s="169"/>
      <c r="E552" s="169"/>
      <c r="F552" s="169"/>
      <c r="G552" s="169"/>
      <c r="H552" s="169"/>
      <c r="I552" s="169"/>
      <c r="J552" s="169"/>
      <c r="K552" s="169"/>
      <c r="L552" s="169"/>
      <c r="M552" s="169"/>
      <c r="N552" s="169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</row>
    <row r="553" spans="1:26" ht="15" x14ac:dyDescent="0.2">
      <c r="A553" s="169"/>
      <c r="B553" s="169"/>
      <c r="C553" s="169"/>
      <c r="D553" s="169"/>
      <c r="E553" s="169"/>
      <c r="F553" s="169"/>
      <c r="G553" s="169"/>
      <c r="H553" s="169"/>
      <c r="I553" s="169"/>
      <c r="J553" s="169"/>
      <c r="K553" s="169"/>
      <c r="L553" s="169"/>
      <c r="M553" s="169"/>
      <c r="N553" s="169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</row>
    <row r="554" spans="1:26" ht="15" x14ac:dyDescent="0.2">
      <c r="A554" s="169"/>
      <c r="B554" s="169"/>
      <c r="C554" s="169"/>
      <c r="D554" s="169"/>
      <c r="E554" s="169"/>
      <c r="F554" s="169"/>
      <c r="G554" s="169"/>
      <c r="H554" s="169"/>
      <c r="I554" s="169"/>
      <c r="J554" s="169"/>
      <c r="K554" s="169"/>
      <c r="L554" s="169"/>
      <c r="M554" s="169"/>
      <c r="N554" s="169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</row>
    <row r="555" spans="1:26" ht="15" x14ac:dyDescent="0.2">
      <c r="A555" s="169"/>
      <c r="B555" s="169"/>
      <c r="C555" s="169"/>
      <c r="D555" s="169"/>
      <c r="E555" s="169"/>
      <c r="F555" s="169"/>
      <c r="G555" s="169"/>
      <c r="H555" s="169"/>
      <c r="I555" s="169"/>
      <c r="J555" s="169"/>
      <c r="K555" s="169"/>
      <c r="L555" s="169"/>
      <c r="M555" s="169"/>
      <c r="N555" s="169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</row>
    <row r="556" spans="1:26" ht="15" x14ac:dyDescent="0.2">
      <c r="A556" s="169"/>
      <c r="B556" s="169"/>
      <c r="C556" s="169"/>
      <c r="D556" s="169"/>
      <c r="E556" s="169"/>
      <c r="F556" s="169"/>
      <c r="G556" s="169"/>
      <c r="H556" s="169"/>
      <c r="I556" s="169"/>
      <c r="J556" s="169"/>
      <c r="K556" s="169"/>
      <c r="L556" s="169"/>
      <c r="M556" s="169"/>
      <c r="N556" s="169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</row>
    <row r="557" spans="1:26" ht="15" x14ac:dyDescent="0.2">
      <c r="A557" s="169"/>
      <c r="B557" s="169"/>
      <c r="C557" s="169"/>
      <c r="D557" s="169"/>
      <c r="E557" s="169"/>
      <c r="F557" s="169"/>
      <c r="G557" s="169"/>
      <c r="H557" s="169"/>
      <c r="I557" s="169"/>
      <c r="J557" s="169"/>
      <c r="K557" s="169"/>
      <c r="L557" s="169"/>
      <c r="M557" s="169"/>
      <c r="N557" s="169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</row>
    <row r="558" spans="1:26" ht="15" x14ac:dyDescent="0.2">
      <c r="A558" s="169"/>
      <c r="B558" s="169"/>
      <c r="C558" s="169"/>
      <c r="D558" s="169"/>
      <c r="E558" s="169"/>
      <c r="F558" s="169"/>
      <c r="G558" s="169"/>
      <c r="H558" s="169"/>
      <c r="I558" s="169"/>
      <c r="J558" s="169"/>
      <c r="K558" s="169"/>
      <c r="L558" s="169"/>
      <c r="M558" s="169"/>
      <c r="N558" s="169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</row>
    <row r="559" spans="1:26" ht="15" x14ac:dyDescent="0.2">
      <c r="A559" s="169"/>
      <c r="B559" s="169"/>
      <c r="C559" s="169"/>
      <c r="D559" s="169"/>
      <c r="E559" s="169"/>
      <c r="F559" s="169"/>
      <c r="G559" s="169"/>
      <c r="H559" s="169"/>
      <c r="I559" s="169"/>
      <c r="J559" s="169"/>
      <c r="K559" s="169"/>
      <c r="L559" s="169"/>
      <c r="M559" s="169"/>
      <c r="N559" s="169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</row>
    <row r="560" spans="1:26" ht="15" x14ac:dyDescent="0.2">
      <c r="A560" s="169"/>
      <c r="B560" s="169"/>
      <c r="C560" s="169"/>
      <c r="D560" s="169"/>
      <c r="E560" s="169"/>
      <c r="F560" s="169"/>
      <c r="G560" s="169"/>
      <c r="H560" s="169"/>
      <c r="I560" s="169"/>
      <c r="J560" s="169"/>
      <c r="K560" s="169"/>
      <c r="L560" s="169"/>
      <c r="M560" s="169"/>
      <c r="N560" s="169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</row>
    <row r="561" spans="1:26" ht="15" x14ac:dyDescent="0.2">
      <c r="A561" s="169"/>
      <c r="B561" s="169"/>
      <c r="C561" s="169"/>
      <c r="D561" s="169"/>
      <c r="E561" s="169"/>
      <c r="F561" s="169"/>
      <c r="G561" s="169"/>
      <c r="H561" s="169"/>
      <c r="I561" s="169"/>
      <c r="J561" s="169"/>
      <c r="K561" s="169"/>
      <c r="L561" s="169"/>
      <c r="M561" s="169"/>
      <c r="N561" s="169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</row>
    <row r="562" spans="1:26" ht="15" x14ac:dyDescent="0.2">
      <c r="A562" s="169"/>
      <c r="B562" s="169"/>
      <c r="C562" s="169"/>
      <c r="D562" s="169"/>
      <c r="E562" s="169"/>
      <c r="F562" s="169"/>
      <c r="G562" s="169"/>
      <c r="H562" s="169"/>
      <c r="I562" s="169"/>
      <c r="J562" s="169"/>
      <c r="K562" s="169"/>
      <c r="L562" s="169"/>
      <c r="M562" s="169"/>
      <c r="N562" s="169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</row>
    <row r="563" spans="1:26" ht="15" x14ac:dyDescent="0.2">
      <c r="A563" s="169"/>
      <c r="B563" s="169"/>
      <c r="C563" s="169"/>
      <c r="D563" s="169"/>
      <c r="E563" s="169"/>
      <c r="F563" s="169"/>
      <c r="G563" s="169"/>
      <c r="H563" s="169"/>
      <c r="I563" s="169"/>
      <c r="J563" s="169"/>
      <c r="K563" s="169"/>
      <c r="L563" s="169"/>
      <c r="M563" s="169"/>
      <c r="N563" s="169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</row>
    <row r="564" spans="1:26" ht="15" x14ac:dyDescent="0.2">
      <c r="A564" s="169"/>
      <c r="B564" s="169"/>
      <c r="C564" s="169"/>
      <c r="D564" s="169"/>
      <c r="E564" s="169"/>
      <c r="F564" s="169"/>
      <c r="G564" s="169"/>
      <c r="H564" s="169"/>
      <c r="I564" s="169"/>
      <c r="J564" s="169"/>
      <c r="K564" s="169"/>
      <c r="L564" s="169"/>
      <c r="M564" s="169"/>
      <c r="N564" s="169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</row>
    <row r="565" spans="1:26" ht="15" x14ac:dyDescent="0.2">
      <c r="A565" s="169"/>
      <c r="B565" s="169"/>
      <c r="C565" s="169"/>
      <c r="D565" s="169"/>
      <c r="E565" s="169"/>
      <c r="F565" s="169"/>
      <c r="G565" s="169"/>
      <c r="H565" s="169"/>
      <c r="I565" s="169"/>
      <c r="J565" s="169"/>
      <c r="K565" s="169"/>
      <c r="L565" s="169"/>
      <c r="M565" s="169"/>
      <c r="N565" s="169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</row>
    <row r="566" spans="1:26" ht="15" x14ac:dyDescent="0.2">
      <c r="A566" s="169"/>
      <c r="B566" s="169"/>
      <c r="C566" s="169"/>
      <c r="D566" s="169"/>
      <c r="E566" s="169"/>
      <c r="F566" s="169"/>
      <c r="G566" s="169"/>
      <c r="H566" s="169"/>
      <c r="I566" s="169"/>
      <c r="J566" s="169"/>
      <c r="K566" s="169"/>
      <c r="L566" s="169"/>
      <c r="M566" s="169"/>
      <c r="N566" s="169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</row>
    <row r="567" spans="1:26" ht="15" x14ac:dyDescent="0.2">
      <c r="A567" s="169"/>
      <c r="B567" s="169"/>
      <c r="C567" s="169"/>
      <c r="D567" s="169"/>
      <c r="E567" s="169"/>
      <c r="F567" s="169"/>
      <c r="G567" s="169"/>
      <c r="H567" s="169"/>
      <c r="I567" s="169"/>
      <c r="J567" s="169"/>
      <c r="K567" s="169"/>
      <c r="L567" s="169"/>
      <c r="M567" s="169"/>
      <c r="N567" s="169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</row>
    <row r="568" spans="1:26" ht="15" x14ac:dyDescent="0.2">
      <c r="A568" s="169"/>
      <c r="B568" s="169"/>
      <c r="C568" s="169"/>
      <c r="D568" s="169"/>
      <c r="E568" s="169"/>
      <c r="F568" s="169"/>
      <c r="G568" s="169"/>
      <c r="H568" s="169"/>
      <c r="I568" s="169"/>
      <c r="J568" s="169"/>
      <c r="K568" s="169"/>
      <c r="L568" s="169"/>
      <c r="M568" s="169"/>
      <c r="N568" s="169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</row>
    <row r="569" spans="1:26" ht="15" x14ac:dyDescent="0.2">
      <c r="A569" s="169"/>
      <c r="B569" s="169"/>
      <c r="C569" s="169"/>
      <c r="D569" s="169"/>
      <c r="E569" s="169"/>
      <c r="F569" s="169"/>
      <c r="G569" s="169"/>
      <c r="H569" s="169"/>
      <c r="I569" s="169"/>
      <c r="J569" s="169"/>
      <c r="K569" s="169"/>
      <c r="L569" s="169"/>
      <c r="M569" s="169"/>
      <c r="N569" s="169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</row>
    <row r="570" spans="1:26" ht="15" x14ac:dyDescent="0.2">
      <c r="A570" s="169"/>
      <c r="B570" s="169"/>
      <c r="C570" s="169"/>
      <c r="D570" s="169"/>
      <c r="E570" s="169"/>
      <c r="F570" s="169"/>
      <c r="G570" s="169"/>
      <c r="H570" s="169"/>
      <c r="I570" s="169"/>
      <c r="J570" s="169"/>
      <c r="K570" s="169"/>
      <c r="L570" s="169"/>
      <c r="M570" s="169"/>
      <c r="N570" s="169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</row>
    <row r="571" spans="1:26" ht="15" x14ac:dyDescent="0.2">
      <c r="A571" s="169"/>
      <c r="B571" s="169"/>
      <c r="C571" s="169"/>
      <c r="D571" s="169"/>
      <c r="E571" s="169"/>
      <c r="F571" s="169"/>
      <c r="G571" s="169"/>
      <c r="H571" s="169"/>
      <c r="I571" s="169"/>
      <c r="J571" s="169"/>
      <c r="K571" s="169"/>
      <c r="L571" s="169"/>
      <c r="M571" s="169"/>
      <c r="N571" s="169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</row>
    <row r="572" spans="1:26" ht="15" x14ac:dyDescent="0.2">
      <c r="A572" s="169"/>
      <c r="B572" s="169"/>
      <c r="C572" s="169"/>
      <c r="D572" s="169"/>
      <c r="E572" s="169"/>
      <c r="F572" s="169"/>
      <c r="G572" s="169"/>
      <c r="H572" s="169"/>
      <c r="I572" s="169"/>
      <c r="J572" s="169"/>
      <c r="K572" s="169"/>
      <c r="L572" s="169"/>
      <c r="M572" s="169"/>
      <c r="N572" s="169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</row>
    <row r="573" spans="1:26" ht="15" x14ac:dyDescent="0.2">
      <c r="A573" s="169"/>
      <c r="B573" s="169"/>
      <c r="C573" s="169"/>
      <c r="D573" s="169"/>
      <c r="E573" s="169"/>
      <c r="F573" s="169"/>
      <c r="G573" s="169"/>
      <c r="H573" s="169"/>
      <c r="I573" s="169"/>
      <c r="J573" s="169"/>
      <c r="K573" s="169"/>
      <c r="L573" s="169"/>
      <c r="M573" s="169"/>
      <c r="N573" s="169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</row>
    <row r="574" spans="1:26" ht="15" x14ac:dyDescent="0.2">
      <c r="A574" s="169"/>
      <c r="B574" s="169"/>
      <c r="C574" s="169"/>
      <c r="D574" s="169"/>
      <c r="E574" s="169"/>
      <c r="F574" s="169"/>
      <c r="G574" s="169"/>
      <c r="H574" s="169"/>
      <c r="I574" s="169"/>
      <c r="J574" s="169"/>
      <c r="K574" s="169"/>
      <c r="L574" s="169"/>
      <c r="M574" s="169"/>
      <c r="N574" s="169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</row>
    <row r="575" spans="1:26" ht="15" x14ac:dyDescent="0.2">
      <c r="A575" s="169"/>
      <c r="B575" s="169"/>
      <c r="C575" s="169"/>
      <c r="D575" s="169"/>
      <c r="E575" s="169"/>
      <c r="F575" s="169"/>
      <c r="G575" s="169"/>
      <c r="H575" s="169"/>
      <c r="I575" s="169"/>
      <c r="J575" s="169"/>
      <c r="K575" s="169"/>
      <c r="L575" s="169"/>
      <c r="M575" s="169"/>
      <c r="N575" s="169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</row>
    <row r="576" spans="1:26" ht="15" x14ac:dyDescent="0.2">
      <c r="A576" s="169"/>
      <c r="B576" s="169"/>
      <c r="C576" s="169"/>
      <c r="D576" s="169"/>
      <c r="E576" s="169"/>
      <c r="F576" s="169"/>
      <c r="G576" s="169"/>
      <c r="H576" s="169"/>
      <c r="I576" s="169"/>
      <c r="J576" s="169"/>
      <c r="K576" s="169"/>
      <c r="L576" s="169"/>
      <c r="M576" s="169"/>
      <c r="N576" s="169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</row>
    <row r="577" spans="1:26" ht="15" x14ac:dyDescent="0.2">
      <c r="A577" s="169"/>
      <c r="B577" s="169"/>
      <c r="C577" s="169"/>
      <c r="D577" s="169"/>
      <c r="E577" s="169"/>
      <c r="F577" s="169"/>
      <c r="G577" s="169"/>
      <c r="H577" s="169"/>
      <c r="I577" s="169"/>
      <c r="J577" s="169"/>
      <c r="K577" s="169"/>
      <c r="L577" s="169"/>
      <c r="M577" s="169"/>
      <c r="N577" s="169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</row>
    <row r="578" spans="1:26" ht="15" x14ac:dyDescent="0.2">
      <c r="A578" s="169"/>
      <c r="B578" s="169"/>
      <c r="C578" s="169"/>
      <c r="D578" s="169"/>
      <c r="E578" s="169"/>
      <c r="F578" s="169"/>
      <c r="G578" s="169"/>
      <c r="H578" s="169"/>
      <c r="I578" s="169"/>
      <c r="J578" s="169"/>
      <c r="K578" s="169"/>
      <c r="L578" s="169"/>
      <c r="M578" s="169"/>
      <c r="N578" s="169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</row>
    <row r="579" spans="1:26" ht="15" x14ac:dyDescent="0.2">
      <c r="A579" s="169"/>
      <c r="B579" s="169"/>
      <c r="C579" s="169"/>
      <c r="D579" s="169"/>
      <c r="E579" s="169"/>
      <c r="F579" s="169"/>
      <c r="G579" s="169"/>
      <c r="H579" s="169"/>
      <c r="I579" s="169"/>
      <c r="J579" s="169"/>
      <c r="K579" s="169"/>
      <c r="L579" s="169"/>
      <c r="M579" s="169"/>
      <c r="N579" s="169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</row>
    <row r="580" spans="1:26" ht="15" x14ac:dyDescent="0.2">
      <c r="A580" s="169"/>
      <c r="B580" s="169"/>
      <c r="C580" s="169"/>
      <c r="D580" s="169"/>
      <c r="E580" s="169"/>
      <c r="F580" s="169"/>
      <c r="G580" s="169"/>
      <c r="H580" s="169"/>
      <c r="I580" s="169"/>
      <c r="J580" s="169"/>
      <c r="K580" s="169"/>
      <c r="L580" s="169"/>
      <c r="M580" s="169"/>
      <c r="N580" s="169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</row>
    <row r="581" spans="1:26" ht="15" x14ac:dyDescent="0.2">
      <c r="A581" s="169"/>
      <c r="B581" s="169"/>
      <c r="C581" s="169"/>
      <c r="D581" s="169"/>
      <c r="E581" s="169"/>
      <c r="F581" s="169"/>
      <c r="G581" s="169"/>
      <c r="H581" s="169"/>
      <c r="I581" s="169"/>
      <c r="J581" s="169"/>
      <c r="K581" s="169"/>
      <c r="L581" s="169"/>
      <c r="M581" s="169"/>
      <c r="N581" s="169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</row>
    <row r="582" spans="1:26" ht="15" x14ac:dyDescent="0.2">
      <c r="A582" s="169"/>
      <c r="B582" s="169"/>
      <c r="C582" s="169"/>
      <c r="D582" s="169"/>
      <c r="E582" s="169"/>
      <c r="F582" s="169"/>
      <c r="G582" s="169"/>
      <c r="H582" s="169"/>
      <c r="I582" s="169"/>
      <c r="J582" s="169"/>
      <c r="K582" s="169"/>
      <c r="L582" s="169"/>
      <c r="M582" s="169"/>
      <c r="N582" s="169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</row>
    <row r="583" spans="1:26" ht="15" x14ac:dyDescent="0.2">
      <c r="A583" s="169"/>
      <c r="B583" s="169"/>
      <c r="C583" s="169"/>
      <c r="D583" s="169"/>
      <c r="E583" s="169"/>
      <c r="F583" s="169"/>
      <c r="G583" s="169"/>
      <c r="H583" s="169"/>
      <c r="I583" s="169"/>
      <c r="J583" s="169"/>
      <c r="K583" s="169"/>
      <c r="L583" s="169"/>
      <c r="M583" s="169"/>
      <c r="N583" s="169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</row>
    <row r="584" spans="1:26" ht="15" x14ac:dyDescent="0.2">
      <c r="A584" s="169"/>
      <c r="B584" s="169"/>
      <c r="C584" s="169"/>
      <c r="D584" s="169"/>
      <c r="E584" s="169"/>
      <c r="F584" s="169"/>
      <c r="G584" s="169"/>
      <c r="H584" s="169"/>
      <c r="I584" s="169"/>
      <c r="J584" s="169"/>
      <c r="K584" s="169"/>
      <c r="L584" s="169"/>
      <c r="M584" s="169"/>
      <c r="N584" s="169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</row>
    <row r="585" spans="1:26" ht="15" x14ac:dyDescent="0.2">
      <c r="A585" s="169"/>
      <c r="B585" s="169"/>
      <c r="C585" s="169"/>
      <c r="D585" s="169"/>
      <c r="E585" s="169"/>
      <c r="F585" s="169"/>
      <c r="G585" s="169"/>
      <c r="H585" s="169"/>
      <c r="I585" s="169"/>
      <c r="J585" s="169"/>
      <c r="K585" s="169"/>
      <c r="L585" s="169"/>
      <c r="M585" s="169"/>
      <c r="N585" s="169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</row>
    <row r="586" spans="1:26" ht="15" x14ac:dyDescent="0.2">
      <c r="A586" s="169"/>
      <c r="B586" s="169"/>
      <c r="C586" s="169"/>
      <c r="D586" s="169"/>
      <c r="E586" s="169"/>
      <c r="F586" s="169"/>
      <c r="G586" s="169"/>
      <c r="H586" s="169"/>
      <c r="I586" s="169"/>
      <c r="J586" s="169"/>
      <c r="K586" s="169"/>
      <c r="L586" s="169"/>
      <c r="M586" s="169"/>
      <c r="N586" s="169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</row>
    <row r="587" spans="1:26" ht="15" x14ac:dyDescent="0.2">
      <c r="A587" s="169"/>
      <c r="B587" s="169"/>
      <c r="C587" s="169"/>
      <c r="D587" s="169"/>
      <c r="E587" s="169"/>
      <c r="F587" s="169"/>
      <c r="G587" s="169"/>
      <c r="H587" s="169"/>
      <c r="I587" s="169"/>
      <c r="J587" s="169"/>
      <c r="K587" s="169"/>
      <c r="L587" s="169"/>
      <c r="M587" s="169"/>
      <c r="N587" s="169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</row>
    <row r="588" spans="1:26" ht="15" x14ac:dyDescent="0.2">
      <c r="A588" s="169"/>
      <c r="B588" s="169"/>
      <c r="C588" s="169"/>
      <c r="D588" s="169"/>
      <c r="E588" s="169"/>
      <c r="F588" s="169"/>
      <c r="G588" s="169"/>
      <c r="H588" s="169"/>
      <c r="I588" s="169"/>
      <c r="J588" s="169"/>
      <c r="K588" s="169"/>
      <c r="L588" s="169"/>
      <c r="M588" s="169"/>
      <c r="N588" s="169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</row>
    <row r="589" spans="1:26" ht="15" x14ac:dyDescent="0.2">
      <c r="A589" s="169"/>
      <c r="B589" s="169"/>
      <c r="C589" s="169"/>
      <c r="D589" s="169"/>
      <c r="E589" s="169"/>
      <c r="F589" s="169"/>
      <c r="G589" s="169"/>
      <c r="H589" s="169"/>
      <c r="I589" s="169"/>
      <c r="J589" s="169"/>
      <c r="K589" s="169"/>
      <c r="L589" s="169"/>
      <c r="M589" s="169"/>
      <c r="N589" s="169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</row>
    <row r="590" spans="1:26" ht="15" x14ac:dyDescent="0.2">
      <c r="A590" s="169"/>
      <c r="B590" s="169"/>
      <c r="C590" s="169"/>
      <c r="D590" s="169"/>
      <c r="E590" s="169"/>
      <c r="F590" s="169"/>
      <c r="G590" s="169"/>
      <c r="H590" s="169"/>
      <c r="I590" s="169"/>
      <c r="J590" s="169"/>
      <c r="K590" s="169"/>
      <c r="L590" s="169"/>
      <c r="M590" s="169"/>
      <c r="N590" s="169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</row>
    <row r="591" spans="1:26" ht="15" x14ac:dyDescent="0.2">
      <c r="A591" s="169"/>
      <c r="B591" s="169"/>
      <c r="C591" s="169"/>
      <c r="D591" s="169"/>
      <c r="E591" s="169"/>
      <c r="F591" s="169"/>
      <c r="G591" s="169"/>
      <c r="H591" s="169"/>
      <c r="I591" s="169"/>
      <c r="J591" s="169"/>
      <c r="K591" s="169"/>
      <c r="L591" s="169"/>
      <c r="M591" s="169"/>
      <c r="N591" s="169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</row>
    <row r="592" spans="1:26" ht="15" x14ac:dyDescent="0.2">
      <c r="A592" s="169"/>
      <c r="B592" s="169"/>
      <c r="C592" s="169"/>
      <c r="D592" s="169"/>
      <c r="E592" s="169"/>
      <c r="F592" s="169"/>
      <c r="G592" s="169"/>
      <c r="H592" s="169"/>
      <c r="I592" s="169"/>
      <c r="J592" s="169"/>
      <c r="K592" s="169"/>
      <c r="L592" s="169"/>
      <c r="M592" s="169"/>
      <c r="N592" s="169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</row>
    <row r="593" spans="1:26" ht="15" x14ac:dyDescent="0.2">
      <c r="A593" s="169"/>
      <c r="B593" s="169"/>
      <c r="C593" s="169"/>
      <c r="D593" s="169"/>
      <c r="E593" s="169"/>
      <c r="F593" s="169"/>
      <c r="G593" s="169"/>
      <c r="H593" s="169"/>
      <c r="I593" s="169"/>
      <c r="J593" s="169"/>
      <c r="K593" s="169"/>
      <c r="L593" s="169"/>
      <c r="M593" s="169"/>
      <c r="N593" s="169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</row>
    <row r="594" spans="1:26" ht="15" x14ac:dyDescent="0.2">
      <c r="A594" s="169"/>
      <c r="B594" s="169"/>
      <c r="C594" s="169"/>
      <c r="D594" s="169"/>
      <c r="E594" s="169"/>
      <c r="F594" s="169"/>
      <c r="G594" s="169"/>
      <c r="H594" s="169"/>
      <c r="I594" s="169"/>
      <c r="J594" s="169"/>
      <c r="K594" s="169"/>
      <c r="L594" s="169"/>
      <c r="M594" s="169"/>
      <c r="N594" s="169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</row>
    <row r="595" spans="1:26" ht="15" x14ac:dyDescent="0.2">
      <c r="A595" s="169"/>
      <c r="B595" s="169"/>
      <c r="C595" s="169"/>
      <c r="D595" s="169"/>
      <c r="E595" s="169"/>
      <c r="F595" s="169"/>
      <c r="G595" s="169"/>
      <c r="H595" s="169"/>
      <c r="I595" s="169"/>
      <c r="J595" s="169"/>
      <c r="K595" s="169"/>
      <c r="L595" s="169"/>
      <c r="M595" s="169"/>
      <c r="N595" s="169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</row>
    <row r="596" spans="1:26" ht="15" x14ac:dyDescent="0.2">
      <c r="A596" s="169"/>
      <c r="B596" s="169"/>
      <c r="C596" s="169"/>
      <c r="D596" s="169"/>
      <c r="E596" s="169"/>
      <c r="F596" s="169"/>
      <c r="G596" s="169"/>
      <c r="H596" s="169"/>
      <c r="I596" s="169"/>
      <c r="J596" s="169"/>
      <c r="K596" s="169"/>
      <c r="L596" s="169"/>
      <c r="M596" s="169"/>
      <c r="N596" s="169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</row>
    <row r="597" spans="1:26" ht="15" x14ac:dyDescent="0.2">
      <c r="A597" s="169"/>
      <c r="B597" s="169"/>
      <c r="C597" s="169"/>
      <c r="D597" s="169"/>
      <c r="E597" s="169"/>
      <c r="F597" s="169"/>
      <c r="G597" s="169"/>
      <c r="H597" s="169"/>
      <c r="I597" s="169"/>
      <c r="J597" s="169"/>
      <c r="K597" s="169"/>
      <c r="L597" s="169"/>
      <c r="M597" s="169"/>
      <c r="N597" s="169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</row>
    <row r="598" spans="1:26" ht="15" x14ac:dyDescent="0.2">
      <c r="A598" s="169"/>
      <c r="B598" s="169"/>
      <c r="C598" s="169"/>
      <c r="D598" s="169"/>
      <c r="E598" s="169"/>
      <c r="F598" s="169"/>
      <c r="G598" s="169"/>
      <c r="H598" s="169"/>
      <c r="I598" s="169"/>
      <c r="J598" s="169"/>
      <c r="K598" s="169"/>
      <c r="L598" s="169"/>
      <c r="M598" s="169"/>
      <c r="N598" s="169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</row>
    <row r="599" spans="1:26" ht="15" x14ac:dyDescent="0.2">
      <c r="A599" s="169"/>
      <c r="B599" s="169"/>
      <c r="C599" s="169"/>
      <c r="D599" s="169"/>
      <c r="E599" s="169"/>
      <c r="F599" s="169"/>
      <c r="G599" s="169"/>
      <c r="H599" s="169"/>
      <c r="I599" s="169"/>
      <c r="J599" s="169"/>
      <c r="K599" s="169"/>
      <c r="L599" s="169"/>
      <c r="M599" s="169"/>
      <c r="N599" s="169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</row>
    <row r="600" spans="1:26" ht="15" x14ac:dyDescent="0.2">
      <c r="A600" s="169"/>
      <c r="B600" s="169"/>
      <c r="C600" s="169"/>
      <c r="D600" s="169"/>
      <c r="E600" s="169"/>
      <c r="F600" s="169"/>
      <c r="G600" s="169"/>
      <c r="H600" s="169"/>
      <c r="I600" s="169"/>
      <c r="J600" s="169"/>
      <c r="K600" s="169"/>
      <c r="L600" s="169"/>
      <c r="M600" s="169"/>
      <c r="N600" s="169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</row>
    <row r="601" spans="1:26" ht="15" x14ac:dyDescent="0.2">
      <c r="A601" s="169"/>
      <c r="B601" s="169"/>
      <c r="C601" s="169"/>
      <c r="D601" s="169"/>
      <c r="E601" s="169"/>
      <c r="F601" s="169"/>
      <c r="G601" s="169"/>
      <c r="H601" s="169"/>
      <c r="I601" s="169"/>
      <c r="J601" s="169"/>
      <c r="K601" s="169"/>
      <c r="L601" s="169"/>
      <c r="M601" s="169"/>
      <c r="N601" s="169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</row>
    <row r="602" spans="1:26" ht="15" x14ac:dyDescent="0.2">
      <c r="A602" s="169"/>
      <c r="B602" s="169"/>
      <c r="C602" s="169"/>
      <c r="D602" s="169"/>
      <c r="E602" s="169"/>
      <c r="F602" s="169"/>
      <c r="G602" s="169"/>
      <c r="H602" s="169"/>
      <c r="I602" s="169"/>
      <c r="J602" s="169"/>
      <c r="K602" s="169"/>
      <c r="L602" s="169"/>
      <c r="M602" s="169"/>
      <c r="N602" s="169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</row>
    <row r="603" spans="1:26" ht="15" x14ac:dyDescent="0.2">
      <c r="A603" s="169"/>
      <c r="B603" s="169"/>
      <c r="C603" s="169"/>
      <c r="D603" s="169"/>
      <c r="E603" s="169"/>
      <c r="F603" s="169"/>
      <c r="G603" s="169"/>
      <c r="H603" s="169"/>
      <c r="I603" s="169"/>
      <c r="J603" s="169"/>
      <c r="K603" s="169"/>
      <c r="L603" s="169"/>
      <c r="M603" s="169"/>
      <c r="N603" s="169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</row>
    <row r="604" spans="1:26" ht="15" x14ac:dyDescent="0.2">
      <c r="A604" s="169"/>
      <c r="B604" s="169"/>
      <c r="C604" s="169"/>
      <c r="D604" s="169"/>
      <c r="E604" s="169"/>
      <c r="F604" s="169"/>
      <c r="G604" s="169"/>
      <c r="H604" s="169"/>
      <c r="I604" s="169"/>
      <c r="J604" s="169"/>
      <c r="K604" s="169"/>
      <c r="L604" s="169"/>
      <c r="M604" s="169"/>
      <c r="N604" s="169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</row>
    <row r="605" spans="1:26" ht="15" x14ac:dyDescent="0.2">
      <c r="A605" s="169"/>
      <c r="B605" s="169"/>
      <c r="C605" s="169"/>
      <c r="D605" s="169"/>
      <c r="E605" s="169"/>
      <c r="F605" s="169"/>
      <c r="G605" s="169"/>
      <c r="H605" s="169"/>
      <c r="I605" s="169"/>
      <c r="J605" s="169"/>
      <c r="K605" s="169"/>
      <c r="L605" s="169"/>
      <c r="M605" s="169"/>
      <c r="N605" s="169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</row>
    <row r="606" spans="1:26" ht="15" x14ac:dyDescent="0.2">
      <c r="A606" s="169"/>
      <c r="B606" s="169"/>
      <c r="C606" s="169"/>
      <c r="D606" s="169"/>
      <c r="E606" s="169"/>
      <c r="F606" s="169"/>
      <c r="G606" s="169"/>
      <c r="H606" s="169"/>
      <c r="I606" s="169"/>
      <c r="J606" s="169"/>
      <c r="K606" s="169"/>
      <c r="L606" s="169"/>
      <c r="M606" s="169"/>
      <c r="N606" s="169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</row>
    <row r="607" spans="1:26" ht="15" x14ac:dyDescent="0.2">
      <c r="A607" s="169"/>
      <c r="B607" s="169"/>
      <c r="C607" s="169"/>
      <c r="D607" s="169"/>
      <c r="E607" s="169"/>
      <c r="F607" s="169"/>
      <c r="G607" s="169"/>
      <c r="H607" s="169"/>
      <c r="I607" s="169"/>
      <c r="J607" s="169"/>
      <c r="K607" s="169"/>
      <c r="L607" s="169"/>
      <c r="M607" s="169"/>
      <c r="N607" s="169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</row>
    <row r="608" spans="1:26" ht="15" x14ac:dyDescent="0.2">
      <c r="A608" s="169"/>
      <c r="B608" s="169"/>
      <c r="C608" s="169"/>
      <c r="D608" s="169"/>
      <c r="E608" s="169"/>
      <c r="F608" s="169"/>
      <c r="G608" s="169"/>
      <c r="H608" s="169"/>
      <c r="I608" s="169"/>
      <c r="J608" s="169"/>
      <c r="K608" s="169"/>
      <c r="L608" s="169"/>
      <c r="M608" s="169"/>
      <c r="N608" s="169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</row>
    <row r="609" spans="1:26" ht="15" x14ac:dyDescent="0.2">
      <c r="A609" s="169"/>
      <c r="B609" s="169"/>
      <c r="C609" s="169"/>
      <c r="D609" s="169"/>
      <c r="E609" s="169"/>
      <c r="F609" s="169"/>
      <c r="G609" s="169"/>
      <c r="H609" s="169"/>
      <c r="I609" s="169"/>
      <c r="J609" s="169"/>
      <c r="K609" s="169"/>
      <c r="L609" s="169"/>
      <c r="M609" s="169"/>
      <c r="N609" s="169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</row>
    <row r="610" spans="1:26" ht="15" x14ac:dyDescent="0.2">
      <c r="A610" s="169"/>
      <c r="B610" s="169"/>
      <c r="C610" s="169"/>
      <c r="D610" s="169"/>
      <c r="E610" s="169"/>
      <c r="F610" s="169"/>
      <c r="G610" s="169"/>
      <c r="H610" s="169"/>
      <c r="I610" s="169"/>
      <c r="J610" s="169"/>
      <c r="K610" s="169"/>
      <c r="L610" s="169"/>
      <c r="M610" s="169"/>
      <c r="N610" s="169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</row>
    <row r="611" spans="1:26" ht="15" x14ac:dyDescent="0.2">
      <c r="A611" s="169"/>
      <c r="B611" s="169"/>
      <c r="C611" s="169"/>
      <c r="D611" s="169"/>
      <c r="E611" s="169"/>
      <c r="F611" s="169"/>
      <c r="G611" s="169"/>
      <c r="H611" s="169"/>
      <c r="I611" s="169"/>
      <c r="J611" s="169"/>
      <c r="K611" s="169"/>
      <c r="L611" s="169"/>
      <c r="M611" s="169"/>
      <c r="N611" s="169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</row>
    <row r="612" spans="1:26" ht="15" x14ac:dyDescent="0.2">
      <c r="A612" s="169"/>
      <c r="B612" s="169"/>
      <c r="C612" s="169"/>
      <c r="D612" s="169"/>
      <c r="E612" s="169"/>
      <c r="F612" s="169"/>
      <c r="G612" s="169"/>
      <c r="H612" s="169"/>
      <c r="I612" s="169"/>
      <c r="J612" s="169"/>
      <c r="K612" s="169"/>
      <c r="L612" s="169"/>
      <c r="M612" s="169"/>
      <c r="N612" s="169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</row>
    <row r="613" spans="1:26" ht="15" x14ac:dyDescent="0.2">
      <c r="A613" s="169"/>
      <c r="B613" s="169"/>
      <c r="C613" s="169"/>
      <c r="D613" s="169"/>
      <c r="E613" s="169"/>
      <c r="F613" s="169"/>
      <c r="G613" s="169"/>
      <c r="H613" s="169"/>
      <c r="I613" s="169"/>
      <c r="J613" s="169"/>
      <c r="K613" s="169"/>
      <c r="L613" s="169"/>
      <c r="M613" s="169"/>
      <c r="N613" s="169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</row>
    <row r="614" spans="1:26" ht="15" x14ac:dyDescent="0.2">
      <c r="A614" s="169"/>
      <c r="B614" s="169"/>
      <c r="C614" s="169"/>
      <c r="D614" s="169"/>
      <c r="E614" s="169"/>
      <c r="F614" s="169"/>
      <c r="G614" s="169"/>
      <c r="H614" s="169"/>
      <c r="I614" s="169"/>
      <c r="J614" s="169"/>
      <c r="K614" s="169"/>
      <c r="L614" s="169"/>
      <c r="M614" s="169"/>
      <c r="N614" s="169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</row>
    <row r="615" spans="1:26" ht="15" x14ac:dyDescent="0.2">
      <c r="A615" s="169"/>
      <c r="B615" s="169"/>
      <c r="C615" s="169"/>
      <c r="D615" s="169"/>
      <c r="E615" s="169"/>
      <c r="F615" s="169"/>
      <c r="G615" s="169"/>
      <c r="H615" s="169"/>
      <c r="I615" s="169"/>
      <c r="J615" s="169"/>
      <c r="K615" s="169"/>
      <c r="L615" s="169"/>
      <c r="M615" s="169"/>
      <c r="N615" s="169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</row>
    <row r="616" spans="1:26" ht="15" x14ac:dyDescent="0.2">
      <c r="A616" s="169"/>
      <c r="B616" s="169"/>
      <c r="C616" s="169"/>
      <c r="D616" s="169"/>
      <c r="E616" s="169"/>
      <c r="F616" s="169"/>
      <c r="G616" s="169"/>
      <c r="H616" s="169"/>
      <c r="I616" s="169"/>
      <c r="J616" s="169"/>
      <c r="K616" s="169"/>
      <c r="L616" s="169"/>
      <c r="M616" s="169"/>
      <c r="N616" s="169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</row>
    <row r="617" spans="1:26" ht="15" x14ac:dyDescent="0.2">
      <c r="A617" s="169"/>
      <c r="B617" s="169"/>
      <c r="C617" s="169"/>
      <c r="D617" s="169"/>
      <c r="E617" s="169"/>
      <c r="F617" s="169"/>
      <c r="G617" s="169"/>
      <c r="H617" s="169"/>
      <c r="I617" s="169"/>
      <c r="J617" s="169"/>
      <c r="K617" s="169"/>
      <c r="L617" s="169"/>
      <c r="M617" s="169"/>
      <c r="N617" s="169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</row>
    <row r="618" spans="1:26" ht="15" x14ac:dyDescent="0.2">
      <c r="A618" s="169"/>
      <c r="B618" s="169"/>
      <c r="C618" s="169"/>
      <c r="D618" s="169"/>
      <c r="E618" s="169"/>
      <c r="F618" s="169"/>
      <c r="G618" s="169"/>
      <c r="H618" s="169"/>
      <c r="I618" s="169"/>
      <c r="J618" s="169"/>
      <c r="K618" s="169"/>
      <c r="L618" s="169"/>
      <c r="M618" s="169"/>
      <c r="N618" s="169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</row>
    <row r="619" spans="1:26" ht="15" x14ac:dyDescent="0.2">
      <c r="A619" s="169"/>
      <c r="B619" s="169"/>
      <c r="C619" s="169"/>
      <c r="D619" s="169"/>
      <c r="E619" s="169"/>
      <c r="F619" s="169"/>
      <c r="G619" s="169"/>
      <c r="H619" s="169"/>
      <c r="I619" s="169"/>
      <c r="J619" s="169"/>
      <c r="K619" s="169"/>
      <c r="L619" s="169"/>
      <c r="M619" s="169"/>
      <c r="N619" s="169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</row>
    <row r="620" spans="1:26" ht="15" x14ac:dyDescent="0.2">
      <c r="A620" s="169"/>
      <c r="B620" s="169"/>
      <c r="C620" s="169"/>
      <c r="D620" s="169"/>
      <c r="E620" s="169"/>
      <c r="F620" s="169"/>
      <c r="G620" s="169"/>
      <c r="H620" s="169"/>
      <c r="I620" s="169"/>
      <c r="J620" s="169"/>
      <c r="K620" s="169"/>
      <c r="L620" s="169"/>
      <c r="M620" s="169"/>
      <c r="N620" s="169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</row>
    <row r="621" spans="1:26" ht="15" x14ac:dyDescent="0.2">
      <c r="A621" s="169"/>
      <c r="B621" s="169"/>
      <c r="C621" s="169"/>
      <c r="D621" s="169"/>
      <c r="E621" s="169"/>
      <c r="F621" s="169"/>
      <c r="G621" s="169"/>
      <c r="H621" s="169"/>
      <c r="I621" s="169"/>
      <c r="J621" s="169"/>
      <c r="K621" s="169"/>
      <c r="L621" s="169"/>
      <c r="M621" s="169"/>
      <c r="N621" s="169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</row>
    <row r="622" spans="1:26" ht="15" x14ac:dyDescent="0.2">
      <c r="A622" s="169"/>
      <c r="B622" s="169"/>
      <c r="C622" s="169"/>
      <c r="D622" s="169"/>
      <c r="E622" s="169"/>
      <c r="F622" s="169"/>
      <c r="G622" s="169"/>
      <c r="H622" s="169"/>
      <c r="I622" s="169"/>
      <c r="J622" s="169"/>
      <c r="K622" s="169"/>
      <c r="L622" s="169"/>
      <c r="M622" s="169"/>
      <c r="N622" s="169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</row>
    <row r="623" spans="1:26" ht="15" x14ac:dyDescent="0.2">
      <c r="A623" s="169"/>
      <c r="B623" s="169"/>
      <c r="C623" s="169"/>
      <c r="D623" s="169"/>
      <c r="E623" s="169"/>
      <c r="F623" s="169"/>
      <c r="G623" s="169"/>
      <c r="H623" s="169"/>
      <c r="I623" s="169"/>
      <c r="J623" s="169"/>
      <c r="K623" s="169"/>
      <c r="L623" s="169"/>
      <c r="M623" s="169"/>
      <c r="N623" s="169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</row>
    <row r="624" spans="1:26" ht="15" x14ac:dyDescent="0.2">
      <c r="A624" s="169"/>
      <c r="B624" s="169"/>
      <c r="C624" s="169"/>
      <c r="D624" s="169"/>
      <c r="E624" s="169"/>
      <c r="F624" s="169"/>
      <c r="G624" s="169"/>
      <c r="H624" s="169"/>
      <c r="I624" s="169"/>
      <c r="J624" s="169"/>
      <c r="K624" s="169"/>
      <c r="L624" s="169"/>
      <c r="M624" s="169"/>
      <c r="N624" s="169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</row>
    <row r="625" spans="1:26" ht="15" x14ac:dyDescent="0.2">
      <c r="A625" s="169"/>
      <c r="B625" s="169"/>
      <c r="C625" s="169"/>
      <c r="D625" s="169"/>
      <c r="E625" s="169"/>
      <c r="F625" s="169"/>
      <c r="G625" s="169"/>
      <c r="H625" s="169"/>
      <c r="I625" s="169"/>
      <c r="J625" s="169"/>
      <c r="K625" s="169"/>
      <c r="L625" s="169"/>
      <c r="M625" s="169"/>
      <c r="N625" s="169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</row>
    <row r="626" spans="1:26" ht="15" x14ac:dyDescent="0.2">
      <c r="A626" s="169"/>
      <c r="B626" s="169"/>
      <c r="C626" s="169"/>
      <c r="D626" s="169"/>
      <c r="E626" s="169"/>
      <c r="F626" s="169"/>
      <c r="G626" s="169"/>
      <c r="H626" s="169"/>
      <c r="I626" s="169"/>
      <c r="J626" s="169"/>
      <c r="K626" s="169"/>
      <c r="L626" s="169"/>
      <c r="M626" s="169"/>
      <c r="N626" s="169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</row>
    <row r="627" spans="1:26" ht="15" x14ac:dyDescent="0.2">
      <c r="A627" s="169"/>
      <c r="B627" s="169"/>
      <c r="C627" s="169"/>
      <c r="D627" s="169"/>
      <c r="E627" s="169"/>
      <c r="F627" s="169"/>
      <c r="G627" s="169"/>
      <c r="H627" s="169"/>
      <c r="I627" s="169"/>
      <c r="J627" s="169"/>
      <c r="K627" s="169"/>
      <c r="L627" s="169"/>
      <c r="M627" s="169"/>
      <c r="N627" s="169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</row>
    <row r="628" spans="1:26" ht="15" x14ac:dyDescent="0.2">
      <c r="A628" s="169"/>
      <c r="B628" s="169"/>
      <c r="C628" s="169"/>
      <c r="D628" s="169"/>
      <c r="E628" s="169"/>
      <c r="F628" s="169"/>
      <c r="G628" s="169"/>
      <c r="H628" s="169"/>
      <c r="I628" s="169"/>
      <c r="J628" s="169"/>
      <c r="K628" s="169"/>
      <c r="L628" s="169"/>
      <c r="M628" s="169"/>
      <c r="N628" s="169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</row>
    <row r="629" spans="1:26" ht="15" x14ac:dyDescent="0.2">
      <c r="A629" s="169"/>
      <c r="B629" s="169"/>
      <c r="C629" s="169"/>
      <c r="D629" s="169"/>
      <c r="E629" s="169"/>
      <c r="F629" s="169"/>
      <c r="G629" s="169"/>
      <c r="H629" s="169"/>
      <c r="I629" s="169"/>
      <c r="J629" s="169"/>
      <c r="K629" s="169"/>
      <c r="L629" s="169"/>
      <c r="M629" s="169"/>
      <c r="N629" s="169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</row>
    <row r="630" spans="1:26" ht="15" x14ac:dyDescent="0.2">
      <c r="A630" s="169"/>
      <c r="B630" s="169"/>
      <c r="C630" s="169"/>
      <c r="D630" s="169"/>
      <c r="E630" s="169"/>
      <c r="F630" s="169"/>
      <c r="G630" s="169"/>
      <c r="H630" s="169"/>
      <c r="I630" s="169"/>
      <c r="J630" s="169"/>
      <c r="K630" s="169"/>
      <c r="L630" s="169"/>
      <c r="M630" s="169"/>
      <c r="N630" s="169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</row>
    <row r="631" spans="1:26" ht="15" x14ac:dyDescent="0.2">
      <c r="A631" s="169"/>
      <c r="B631" s="169"/>
      <c r="C631" s="169"/>
      <c r="D631" s="169"/>
      <c r="E631" s="169"/>
      <c r="F631" s="169"/>
      <c r="G631" s="169"/>
      <c r="H631" s="169"/>
      <c r="I631" s="169"/>
      <c r="J631" s="169"/>
      <c r="K631" s="169"/>
      <c r="L631" s="169"/>
      <c r="M631" s="169"/>
      <c r="N631" s="169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</row>
    <row r="632" spans="1:26" ht="15" x14ac:dyDescent="0.2">
      <c r="A632" s="169"/>
      <c r="B632" s="169"/>
      <c r="C632" s="169"/>
      <c r="D632" s="169"/>
      <c r="E632" s="169"/>
      <c r="F632" s="169"/>
      <c r="G632" s="169"/>
      <c r="H632" s="169"/>
      <c r="I632" s="169"/>
      <c r="J632" s="169"/>
      <c r="K632" s="169"/>
      <c r="L632" s="169"/>
      <c r="M632" s="169"/>
      <c r="N632" s="169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</row>
    <row r="633" spans="1:26" ht="15" x14ac:dyDescent="0.2">
      <c r="A633" s="169"/>
      <c r="B633" s="169"/>
      <c r="C633" s="169"/>
      <c r="D633" s="169"/>
      <c r="E633" s="169"/>
      <c r="F633" s="169"/>
      <c r="G633" s="169"/>
      <c r="H633" s="169"/>
      <c r="I633" s="169"/>
      <c r="J633" s="169"/>
      <c r="K633" s="169"/>
      <c r="L633" s="169"/>
      <c r="M633" s="169"/>
      <c r="N633" s="169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</row>
    <row r="634" spans="1:26" ht="15" x14ac:dyDescent="0.2">
      <c r="A634" s="169"/>
      <c r="B634" s="169"/>
      <c r="C634" s="169"/>
      <c r="D634" s="169"/>
      <c r="E634" s="169"/>
      <c r="F634" s="169"/>
      <c r="G634" s="169"/>
      <c r="H634" s="169"/>
      <c r="I634" s="169"/>
      <c r="J634" s="169"/>
      <c r="K634" s="169"/>
      <c r="L634" s="169"/>
      <c r="M634" s="169"/>
      <c r="N634" s="169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</row>
    <row r="635" spans="1:26" ht="15" x14ac:dyDescent="0.2">
      <c r="A635" s="169"/>
      <c r="B635" s="169"/>
      <c r="C635" s="169"/>
      <c r="D635" s="169"/>
      <c r="E635" s="169"/>
      <c r="F635" s="169"/>
      <c r="G635" s="169"/>
      <c r="H635" s="169"/>
      <c r="I635" s="169"/>
      <c r="J635" s="169"/>
      <c r="K635" s="169"/>
      <c r="L635" s="169"/>
      <c r="M635" s="169"/>
      <c r="N635" s="169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</row>
    <row r="636" spans="1:26" ht="15" x14ac:dyDescent="0.2">
      <c r="A636" s="169"/>
      <c r="B636" s="169"/>
      <c r="C636" s="169"/>
      <c r="D636" s="169"/>
      <c r="E636" s="169"/>
      <c r="F636" s="169"/>
      <c r="G636" s="169"/>
      <c r="H636" s="169"/>
      <c r="I636" s="169"/>
      <c r="J636" s="169"/>
      <c r="K636" s="169"/>
      <c r="L636" s="169"/>
      <c r="M636" s="169"/>
      <c r="N636" s="169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</row>
    <row r="637" spans="1:26" ht="15" x14ac:dyDescent="0.2">
      <c r="A637" s="169"/>
      <c r="B637" s="169"/>
      <c r="C637" s="169"/>
      <c r="D637" s="169"/>
      <c r="E637" s="169"/>
      <c r="F637" s="169"/>
      <c r="G637" s="169"/>
      <c r="H637" s="169"/>
      <c r="I637" s="169"/>
      <c r="J637" s="169"/>
      <c r="K637" s="169"/>
      <c r="L637" s="169"/>
      <c r="M637" s="169"/>
      <c r="N637" s="169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</row>
    <row r="638" spans="1:26" ht="15" x14ac:dyDescent="0.2">
      <c r="A638" s="169"/>
      <c r="B638" s="169"/>
      <c r="C638" s="169"/>
      <c r="D638" s="169"/>
      <c r="E638" s="169"/>
      <c r="F638" s="169"/>
      <c r="G638" s="169"/>
      <c r="H638" s="169"/>
      <c r="I638" s="169"/>
      <c r="J638" s="169"/>
      <c r="K638" s="169"/>
      <c r="L638" s="169"/>
      <c r="M638" s="169"/>
      <c r="N638" s="169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</row>
    <row r="639" spans="1:26" ht="15" x14ac:dyDescent="0.2">
      <c r="A639" s="169"/>
      <c r="B639" s="169"/>
      <c r="C639" s="169"/>
      <c r="D639" s="169"/>
      <c r="E639" s="169"/>
      <c r="F639" s="169"/>
      <c r="G639" s="169"/>
      <c r="H639" s="169"/>
      <c r="I639" s="169"/>
      <c r="J639" s="169"/>
      <c r="K639" s="169"/>
      <c r="L639" s="169"/>
      <c r="M639" s="169"/>
      <c r="N639" s="169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</row>
    <row r="640" spans="1:26" ht="15" x14ac:dyDescent="0.2">
      <c r="A640" s="169"/>
      <c r="B640" s="169"/>
      <c r="C640" s="169"/>
      <c r="D640" s="169"/>
      <c r="E640" s="169"/>
      <c r="F640" s="169"/>
      <c r="G640" s="169"/>
      <c r="H640" s="169"/>
      <c r="I640" s="169"/>
      <c r="J640" s="169"/>
      <c r="K640" s="169"/>
      <c r="L640" s="169"/>
      <c r="M640" s="169"/>
      <c r="N640" s="169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</row>
    <row r="641" spans="1:26" ht="15" x14ac:dyDescent="0.2">
      <c r="A641" s="169"/>
      <c r="B641" s="169"/>
      <c r="C641" s="169"/>
      <c r="D641" s="169"/>
      <c r="E641" s="169"/>
      <c r="F641" s="169"/>
      <c r="G641" s="169"/>
      <c r="H641" s="169"/>
      <c r="I641" s="169"/>
      <c r="J641" s="169"/>
      <c r="K641" s="169"/>
      <c r="L641" s="169"/>
      <c r="M641" s="169"/>
      <c r="N641" s="169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</row>
    <row r="642" spans="1:26" ht="15" x14ac:dyDescent="0.2">
      <c r="A642" s="169"/>
      <c r="B642" s="169"/>
      <c r="C642" s="169"/>
      <c r="D642" s="169"/>
      <c r="E642" s="169"/>
      <c r="F642" s="169"/>
      <c r="G642" s="169"/>
      <c r="H642" s="169"/>
      <c r="I642" s="169"/>
      <c r="J642" s="169"/>
      <c r="K642" s="169"/>
      <c r="L642" s="169"/>
      <c r="M642" s="169"/>
      <c r="N642" s="169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</row>
    <row r="643" spans="1:26" ht="15" x14ac:dyDescent="0.2">
      <c r="A643" s="169"/>
      <c r="B643" s="169"/>
      <c r="C643" s="169"/>
      <c r="D643" s="169"/>
      <c r="E643" s="169"/>
      <c r="F643" s="169"/>
      <c r="G643" s="169"/>
      <c r="H643" s="169"/>
      <c r="I643" s="169"/>
      <c r="J643" s="169"/>
      <c r="K643" s="169"/>
      <c r="L643" s="169"/>
      <c r="M643" s="169"/>
      <c r="N643" s="169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</row>
    <row r="644" spans="1:26" ht="15" x14ac:dyDescent="0.2">
      <c r="A644" s="169"/>
      <c r="B644" s="169"/>
      <c r="C644" s="169"/>
      <c r="D644" s="169"/>
      <c r="E644" s="169"/>
      <c r="F644" s="169"/>
      <c r="G644" s="169"/>
      <c r="H644" s="169"/>
      <c r="I644" s="169"/>
      <c r="J644" s="169"/>
      <c r="K644" s="169"/>
      <c r="L644" s="169"/>
      <c r="M644" s="169"/>
      <c r="N644" s="169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</row>
    <row r="645" spans="1:26" ht="15" x14ac:dyDescent="0.2">
      <c r="A645" s="169"/>
      <c r="B645" s="169"/>
      <c r="C645" s="169"/>
      <c r="D645" s="169"/>
      <c r="E645" s="169"/>
      <c r="F645" s="169"/>
      <c r="G645" s="169"/>
      <c r="H645" s="169"/>
      <c r="I645" s="169"/>
      <c r="J645" s="169"/>
      <c r="K645" s="169"/>
      <c r="L645" s="169"/>
      <c r="M645" s="169"/>
      <c r="N645" s="169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</row>
    <row r="646" spans="1:26" ht="15" x14ac:dyDescent="0.2">
      <c r="A646" s="169"/>
      <c r="B646" s="169"/>
      <c r="C646" s="169"/>
      <c r="D646" s="169"/>
      <c r="E646" s="169"/>
      <c r="F646" s="169"/>
      <c r="G646" s="169"/>
      <c r="H646" s="169"/>
      <c r="I646" s="169"/>
      <c r="J646" s="169"/>
      <c r="K646" s="169"/>
      <c r="L646" s="169"/>
      <c r="M646" s="169"/>
      <c r="N646" s="169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</row>
    <row r="647" spans="1:26" ht="15" x14ac:dyDescent="0.2">
      <c r="A647" s="169"/>
      <c r="B647" s="169"/>
      <c r="C647" s="169"/>
      <c r="D647" s="169"/>
      <c r="E647" s="169"/>
      <c r="F647" s="169"/>
      <c r="G647" s="169"/>
      <c r="H647" s="169"/>
      <c r="I647" s="169"/>
      <c r="J647" s="169"/>
      <c r="K647" s="169"/>
      <c r="L647" s="169"/>
      <c r="M647" s="169"/>
      <c r="N647" s="169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</row>
    <row r="648" spans="1:26" ht="15" x14ac:dyDescent="0.2">
      <c r="A648" s="169"/>
      <c r="B648" s="169"/>
      <c r="C648" s="169"/>
      <c r="D648" s="169"/>
      <c r="E648" s="169"/>
      <c r="F648" s="169"/>
      <c r="G648" s="169"/>
      <c r="H648" s="169"/>
      <c r="I648" s="169"/>
      <c r="J648" s="169"/>
      <c r="K648" s="169"/>
      <c r="L648" s="169"/>
      <c r="M648" s="169"/>
      <c r="N648" s="169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</row>
    <row r="649" spans="1:26" ht="15" x14ac:dyDescent="0.2">
      <c r="A649" s="169"/>
      <c r="B649" s="169"/>
      <c r="C649" s="169"/>
      <c r="D649" s="169"/>
      <c r="E649" s="169"/>
      <c r="F649" s="169"/>
      <c r="G649" s="169"/>
      <c r="H649" s="169"/>
      <c r="I649" s="169"/>
      <c r="J649" s="169"/>
      <c r="K649" s="169"/>
      <c r="L649" s="169"/>
      <c r="M649" s="169"/>
      <c r="N649" s="169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</row>
    <row r="650" spans="1:26" ht="15" x14ac:dyDescent="0.2">
      <c r="A650" s="169"/>
      <c r="B650" s="169"/>
      <c r="C650" s="169"/>
      <c r="D650" s="169"/>
      <c r="E650" s="169"/>
      <c r="F650" s="169"/>
      <c r="G650" s="169"/>
      <c r="H650" s="169"/>
      <c r="I650" s="169"/>
      <c r="J650" s="169"/>
      <c r="K650" s="169"/>
      <c r="L650" s="169"/>
      <c r="M650" s="169"/>
      <c r="N650" s="169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</row>
    <row r="651" spans="1:26" ht="15" x14ac:dyDescent="0.2">
      <c r="A651" s="169"/>
      <c r="B651" s="169"/>
      <c r="C651" s="169"/>
      <c r="D651" s="169"/>
      <c r="E651" s="169"/>
      <c r="F651" s="169"/>
      <c r="G651" s="169"/>
      <c r="H651" s="169"/>
      <c r="I651" s="169"/>
      <c r="J651" s="169"/>
      <c r="K651" s="169"/>
      <c r="L651" s="169"/>
      <c r="M651" s="169"/>
      <c r="N651" s="169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</row>
    <row r="652" spans="1:26" ht="15" x14ac:dyDescent="0.2">
      <c r="A652" s="169"/>
      <c r="B652" s="169"/>
      <c r="C652" s="169"/>
      <c r="D652" s="169"/>
      <c r="E652" s="169"/>
      <c r="F652" s="169"/>
      <c r="G652" s="169"/>
      <c r="H652" s="169"/>
      <c r="I652" s="169"/>
      <c r="J652" s="169"/>
      <c r="K652" s="169"/>
      <c r="L652" s="169"/>
      <c r="M652" s="169"/>
      <c r="N652" s="169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</row>
    <row r="653" spans="1:26" ht="15" x14ac:dyDescent="0.2">
      <c r="A653" s="169"/>
      <c r="B653" s="169"/>
      <c r="C653" s="169"/>
      <c r="D653" s="169"/>
      <c r="E653" s="169"/>
      <c r="F653" s="169"/>
      <c r="G653" s="169"/>
      <c r="H653" s="169"/>
      <c r="I653" s="169"/>
      <c r="J653" s="169"/>
      <c r="K653" s="169"/>
      <c r="L653" s="169"/>
      <c r="M653" s="169"/>
      <c r="N653" s="169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</row>
    <row r="654" spans="1:26" ht="15" x14ac:dyDescent="0.2">
      <c r="A654" s="169"/>
      <c r="B654" s="169"/>
      <c r="C654" s="169"/>
      <c r="D654" s="169"/>
      <c r="E654" s="169"/>
      <c r="F654" s="169"/>
      <c r="G654" s="169"/>
      <c r="H654" s="169"/>
      <c r="I654" s="169"/>
      <c r="J654" s="169"/>
      <c r="K654" s="169"/>
      <c r="L654" s="169"/>
      <c r="M654" s="169"/>
      <c r="N654" s="169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</row>
    <row r="655" spans="1:26" ht="15" x14ac:dyDescent="0.2">
      <c r="A655" s="169"/>
      <c r="B655" s="169"/>
      <c r="C655" s="169"/>
      <c r="D655" s="169"/>
      <c r="E655" s="169"/>
      <c r="F655" s="169"/>
      <c r="G655" s="169"/>
      <c r="H655" s="169"/>
      <c r="I655" s="169"/>
      <c r="J655" s="169"/>
      <c r="K655" s="169"/>
      <c r="L655" s="169"/>
      <c r="M655" s="169"/>
      <c r="N655" s="169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</row>
    <row r="656" spans="1:26" ht="15" x14ac:dyDescent="0.2">
      <c r="A656" s="169"/>
      <c r="B656" s="169"/>
      <c r="C656" s="169"/>
      <c r="D656" s="169"/>
      <c r="E656" s="169"/>
      <c r="F656" s="169"/>
      <c r="G656" s="169"/>
      <c r="H656" s="169"/>
      <c r="I656" s="169"/>
      <c r="J656" s="169"/>
      <c r="K656" s="169"/>
      <c r="L656" s="169"/>
      <c r="M656" s="169"/>
      <c r="N656" s="169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</row>
    <row r="657" spans="1:26" ht="15" x14ac:dyDescent="0.2">
      <c r="A657" s="169"/>
      <c r="B657" s="169"/>
      <c r="C657" s="169"/>
      <c r="D657" s="169"/>
      <c r="E657" s="169"/>
      <c r="F657" s="169"/>
      <c r="G657" s="169"/>
      <c r="H657" s="169"/>
      <c r="I657" s="169"/>
      <c r="J657" s="169"/>
      <c r="K657" s="169"/>
      <c r="L657" s="169"/>
      <c r="M657" s="169"/>
      <c r="N657" s="169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</row>
    <row r="658" spans="1:26" ht="15" x14ac:dyDescent="0.2">
      <c r="A658" s="169"/>
      <c r="B658" s="169"/>
      <c r="C658" s="169"/>
      <c r="D658" s="169"/>
      <c r="E658" s="169"/>
      <c r="F658" s="169"/>
      <c r="G658" s="169"/>
      <c r="H658" s="169"/>
      <c r="I658" s="169"/>
      <c r="J658" s="169"/>
      <c r="K658" s="169"/>
      <c r="L658" s="169"/>
      <c r="M658" s="169"/>
      <c r="N658" s="169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</row>
    <row r="659" spans="1:26" ht="15" x14ac:dyDescent="0.2">
      <c r="A659" s="169"/>
      <c r="B659" s="169"/>
      <c r="C659" s="169"/>
      <c r="D659" s="169"/>
      <c r="E659" s="169"/>
      <c r="F659" s="169"/>
      <c r="G659" s="169"/>
      <c r="H659" s="169"/>
      <c r="I659" s="169"/>
      <c r="J659" s="169"/>
      <c r="K659" s="169"/>
      <c r="L659" s="169"/>
      <c r="M659" s="169"/>
      <c r="N659" s="169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</row>
    <row r="660" spans="1:26" ht="15" x14ac:dyDescent="0.2">
      <c r="A660" s="169"/>
      <c r="B660" s="169"/>
      <c r="C660" s="169"/>
      <c r="D660" s="169"/>
      <c r="E660" s="169"/>
      <c r="F660" s="169"/>
      <c r="G660" s="169"/>
      <c r="H660" s="169"/>
      <c r="I660" s="169"/>
      <c r="J660" s="169"/>
      <c r="K660" s="169"/>
      <c r="L660" s="169"/>
      <c r="M660" s="169"/>
      <c r="N660" s="169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</row>
    <row r="661" spans="1:26" ht="15" x14ac:dyDescent="0.2">
      <c r="A661" s="169"/>
      <c r="B661" s="169"/>
      <c r="C661" s="169"/>
      <c r="D661" s="169"/>
      <c r="E661" s="169"/>
      <c r="F661" s="169"/>
      <c r="G661" s="169"/>
      <c r="H661" s="169"/>
      <c r="I661" s="169"/>
      <c r="J661" s="169"/>
      <c r="K661" s="169"/>
      <c r="L661" s="169"/>
      <c r="M661" s="169"/>
      <c r="N661" s="169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</row>
    <row r="662" spans="1:26" ht="15" x14ac:dyDescent="0.2">
      <c r="A662" s="169"/>
      <c r="B662" s="169"/>
      <c r="C662" s="169"/>
      <c r="D662" s="169"/>
      <c r="E662" s="169"/>
      <c r="F662" s="169"/>
      <c r="G662" s="169"/>
      <c r="H662" s="169"/>
      <c r="I662" s="169"/>
      <c r="J662" s="169"/>
      <c r="K662" s="169"/>
      <c r="L662" s="169"/>
      <c r="M662" s="169"/>
      <c r="N662" s="169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</row>
    <row r="663" spans="1:26" ht="15" x14ac:dyDescent="0.2">
      <c r="A663" s="169"/>
      <c r="B663" s="169"/>
      <c r="C663" s="169"/>
      <c r="D663" s="169"/>
      <c r="E663" s="169"/>
      <c r="F663" s="169"/>
      <c r="G663" s="169"/>
      <c r="H663" s="169"/>
      <c r="I663" s="169"/>
      <c r="J663" s="169"/>
      <c r="K663" s="169"/>
      <c r="L663" s="169"/>
      <c r="M663" s="169"/>
      <c r="N663" s="169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</row>
    <row r="664" spans="1:26" ht="15" x14ac:dyDescent="0.2">
      <c r="A664" s="169"/>
      <c r="B664" s="169"/>
      <c r="C664" s="169"/>
      <c r="D664" s="169"/>
      <c r="E664" s="169"/>
      <c r="F664" s="169"/>
      <c r="G664" s="169"/>
      <c r="H664" s="169"/>
      <c r="I664" s="169"/>
      <c r="J664" s="169"/>
      <c r="K664" s="169"/>
      <c r="L664" s="169"/>
      <c r="M664" s="169"/>
      <c r="N664" s="169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</row>
    <row r="665" spans="1:26" ht="15" x14ac:dyDescent="0.2">
      <c r="A665" s="169"/>
      <c r="B665" s="169"/>
      <c r="C665" s="169"/>
      <c r="D665" s="169"/>
      <c r="E665" s="169"/>
      <c r="F665" s="169"/>
      <c r="G665" s="169"/>
      <c r="H665" s="169"/>
      <c r="I665" s="169"/>
      <c r="J665" s="169"/>
      <c r="K665" s="169"/>
      <c r="L665" s="169"/>
      <c r="M665" s="169"/>
      <c r="N665" s="169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</row>
    <row r="666" spans="1:26" ht="15" x14ac:dyDescent="0.2">
      <c r="A666" s="169"/>
      <c r="B666" s="169"/>
      <c r="C666" s="169"/>
      <c r="D666" s="169"/>
      <c r="E666" s="169"/>
      <c r="F666" s="169"/>
      <c r="G666" s="169"/>
      <c r="H666" s="169"/>
      <c r="I666" s="169"/>
      <c r="J666" s="169"/>
      <c r="K666" s="169"/>
      <c r="L666" s="169"/>
      <c r="M666" s="169"/>
      <c r="N666" s="169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</row>
    <row r="667" spans="1:26" ht="15" x14ac:dyDescent="0.2">
      <c r="A667" s="169"/>
      <c r="B667" s="169"/>
      <c r="C667" s="169"/>
      <c r="D667" s="169"/>
      <c r="E667" s="169"/>
      <c r="F667" s="169"/>
      <c r="G667" s="169"/>
      <c r="H667" s="169"/>
      <c r="I667" s="169"/>
      <c r="J667" s="169"/>
      <c r="K667" s="169"/>
      <c r="L667" s="169"/>
      <c r="M667" s="169"/>
      <c r="N667" s="169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</row>
    <row r="668" spans="1:26" ht="15" x14ac:dyDescent="0.2">
      <c r="A668" s="169"/>
      <c r="B668" s="169"/>
      <c r="C668" s="169"/>
      <c r="D668" s="169"/>
      <c r="E668" s="169"/>
      <c r="F668" s="169"/>
      <c r="G668" s="169"/>
      <c r="H668" s="169"/>
      <c r="I668" s="169"/>
      <c r="J668" s="169"/>
      <c r="K668" s="169"/>
      <c r="L668" s="169"/>
      <c r="M668" s="169"/>
      <c r="N668" s="169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</row>
    <row r="669" spans="1:26" ht="15" x14ac:dyDescent="0.2">
      <c r="A669" s="169"/>
      <c r="B669" s="169"/>
      <c r="C669" s="169"/>
      <c r="D669" s="169"/>
      <c r="E669" s="169"/>
      <c r="F669" s="169"/>
      <c r="G669" s="169"/>
      <c r="H669" s="169"/>
      <c r="I669" s="169"/>
      <c r="J669" s="169"/>
      <c r="K669" s="169"/>
      <c r="L669" s="169"/>
      <c r="M669" s="169"/>
      <c r="N669" s="169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</row>
    <row r="670" spans="1:26" ht="15" x14ac:dyDescent="0.2">
      <c r="A670" s="169"/>
      <c r="B670" s="169"/>
      <c r="C670" s="169"/>
      <c r="D670" s="169"/>
      <c r="E670" s="169"/>
      <c r="F670" s="169"/>
      <c r="G670" s="169"/>
      <c r="H670" s="169"/>
      <c r="I670" s="169"/>
      <c r="J670" s="169"/>
      <c r="K670" s="169"/>
      <c r="L670" s="169"/>
      <c r="M670" s="169"/>
      <c r="N670" s="169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</row>
    <row r="671" spans="1:26" ht="15" x14ac:dyDescent="0.2">
      <c r="A671" s="169"/>
      <c r="B671" s="169"/>
      <c r="C671" s="169"/>
      <c r="D671" s="169"/>
      <c r="E671" s="169"/>
      <c r="F671" s="169"/>
      <c r="G671" s="169"/>
      <c r="H671" s="169"/>
      <c r="I671" s="169"/>
      <c r="J671" s="169"/>
      <c r="K671" s="169"/>
      <c r="L671" s="169"/>
      <c r="M671" s="169"/>
      <c r="N671" s="169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</row>
    <row r="672" spans="1:26" ht="15" x14ac:dyDescent="0.2">
      <c r="A672" s="169"/>
      <c r="B672" s="169"/>
      <c r="C672" s="169"/>
      <c r="D672" s="169"/>
      <c r="E672" s="169"/>
      <c r="F672" s="169"/>
      <c r="G672" s="169"/>
      <c r="H672" s="169"/>
      <c r="I672" s="169"/>
      <c r="J672" s="169"/>
      <c r="K672" s="169"/>
      <c r="L672" s="169"/>
      <c r="M672" s="169"/>
      <c r="N672" s="169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</row>
    <row r="673" spans="1:26" ht="15" x14ac:dyDescent="0.2">
      <c r="A673" s="169"/>
      <c r="B673" s="169"/>
      <c r="C673" s="169"/>
      <c r="D673" s="169"/>
      <c r="E673" s="169"/>
      <c r="F673" s="169"/>
      <c r="G673" s="169"/>
      <c r="H673" s="169"/>
      <c r="I673" s="169"/>
      <c r="J673" s="169"/>
      <c r="K673" s="169"/>
      <c r="L673" s="169"/>
      <c r="M673" s="169"/>
      <c r="N673" s="169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</row>
    <row r="674" spans="1:26" ht="15" x14ac:dyDescent="0.2">
      <c r="A674" s="169"/>
      <c r="B674" s="169"/>
      <c r="C674" s="169"/>
      <c r="D674" s="169"/>
      <c r="E674" s="169"/>
      <c r="F674" s="169"/>
      <c r="G674" s="169"/>
      <c r="H674" s="169"/>
      <c r="I674" s="169"/>
      <c r="J674" s="169"/>
      <c r="K674" s="169"/>
      <c r="L674" s="169"/>
      <c r="M674" s="169"/>
      <c r="N674" s="169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</row>
    <row r="675" spans="1:26" ht="15" x14ac:dyDescent="0.2">
      <c r="A675" s="169"/>
      <c r="B675" s="169"/>
      <c r="C675" s="169"/>
      <c r="D675" s="169"/>
      <c r="E675" s="169"/>
      <c r="F675" s="169"/>
      <c r="G675" s="169"/>
      <c r="H675" s="169"/>
      <c r="I675" s="169"/>
      <c r="J675" s="169"/>
      <c r="K675" s="169"/>
      <c r="L675" s="169"/>
      <c r="M675" s="169"/>
      <c r="N675" s="169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</row>
    <row r="676" spans="1:26" ht="15" x14ac:dyDescent="0.2">
      <c r="A676" s="169"/>
      <c r="B676" s="169"/>
      <c r="C676" s="169"/>
      <c r="D676" s="169"/>
      <c r="E676" s="169"/>
      <c r="F676" s="169"/>
      <c r="G676" s="169"/>
      <c r="H676" s="169"/>
      <c r="I676" s="169"/>
      <c r="J676" s="169"/>
      <c r="K676" s="169"/>
      <c r="L676" s="169"/>
      <c r="M676" s="169"/>
      <c r="N676" s="169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</row>
    <row r="677" spans="1:26" ht="15" x14ac:dyDescent="0.2">
      <c r="A677" s="169"/>
      <c r="B677" s="169"/>
      <c r="C677" s="169"/>
      <c r="D677" s="169"/>
      <c r="E677" s="169"/>
      <c r="F677" s="169"/>
      <c r="G677" s="169"/>
      <c r="H677" s="169"/>
      <c r="I677" s="169"/>
      <c r="J677" s="169"/>
      <c r="K677" s="169"/>
      <c r="L677" s="169"/>
      <c r="M677" s="169"/>
      <c r="N677" s="169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</row>
    <row r="678" spans="1:26" ht="15" x14ac:dyDescent="0.2">
      <c r="A678" s="169"/>
      <c r="B678" s="169"/>
      <c r="C678" s="169"/>
      <c r="D678" s="169"/>
      <c r="E678" s="169"/>
      <c r="F678" s="169"/>
      <c r="G678" s="169"/>
      <c r="H678" s="169"/>
      <c r="I678" s="169"/>
      <c r="J678" s="169"/>
      <c r="K678" s="169"/>
      <c r="L678" s="169"/>
      <c r="M678" s="169"/>
      <c r="N678" s="169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</row>
    <row r="679" spans="1:26" ht="15" x14ac:dyDescent="0.2">
      <c r="A679" s="169"/>
      <c r="B679" s="169"/>
      <c r="C679" s="169"/>
      <c r="D679" s="169"/>
      <c r="E679" s="169"/>
      <c r="F679" s="169"/>
      <c r="G679" s="169"/>
      <c r="H679" s="169"/>
      <c r="I679" s="169"/>
      <c r="J679" s="169"/>
      <c r="K679" s="169"/>
      <c r="L679" s="169"/>
      <c r="M679" s="169"/>
      <c r="N679" s="169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</row>
    <row r="680" spans="1:26" ht="15" x14ac:dyDescent="0.2">
      <c r="A680" s="169"/>
      <c r="B680" s="169"/>
      <c r="C680" s="169"/>
      <c r="D680" s="169"/>
      <c r="E680" s="169"/>
      <c r="F680" s="169"/>
      <c r="G680" s="169"/>
      <c r="H680" s="169"/>
      <c r="I680" s="169"/>
      <c r="J680" s="169"/>
      <c r="K680" s="169"/>
      <c r="L680" s="169"/>
      <c r="M680" s="169"/>
      <c r="N680" s="169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</row>
    <row r="681" spans="1:26" ht="15" x14ac:dyDescent="0.2">
      <c r="A681" s="169"/>
      <c r="B681" s="169"/>
      <c r="C681" s="169"/>
      <c r="D681" s="169"/>
      <c r="E681" s="169"/>
      <c r="F681" s="169"/>
      <c r="G681" s="169"/>
      <c r="H681" s="169"/>
      <c r="I681" s="169"/>
      <c r="J681" s="169"/>
      <c r="K681" s="169"/>
      <c r="L681" s="169"/>
      <c r="M681" s="169"/>
      <c r="N681" s="169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</row>
    <row r="682" spans="1:26" ht="15" x14ac:dyDescent="0.2">
      <c r="A682" s="169"/>
      <c r="B682" s="169"/>
      <c r="C682" s="169"/>
      <c r="D682" s="169"/>
      <c r="E682" s="169"/>
      <c r="F682" s="169"/>
      <c r="G682" s="169"/>
      <c r="H682" s="169"/>
      <c r="I682" s="169"/>
      <c r="J682" s="169"/>
      <c r="K682" s="169"/>
      <c r="L682" s="169"/>
      <c r="M682" s="169"/>
      <c r="N682" s="169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</row>
    <row r="683" spans="1:26" ht="15" x14ac:dyDescent="0.2">
      <c r="A683" s="169"/>
      <c r="B683" s="169"/>
      <c r="C683" s="169"/>
      <c r="D683" s="169"/>
      <c r="E683" s="169"/>
      <c r="F683" s="169"/>
      <c r="G683" s="169"/>
      <c r="H683" s="169"/>
      <c r="I683" s="169"/>
      <c r="J683" s="169"/>
      <c r="K683" s="169"/>
      <c r="L683" s="169"/>
      <c r="M683" s="169"/>
      <c r="N683" s="169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</row>
    <row r="684" spans="1:26" ht="15" x14ac:dyDescent="0.2">
      <c r="A684" s="169"/>
      <c r="B684" s="169"/>
      <c r="C684" s="169"/>
      <c r="D684" s="169"/>
      <c r="E684" s="169"/>
      <c r="F684" s="169"/>
      <c r="G684" s="169"/>
      <c r="H684" s="169"/>
      <c r="I684" s="169"/>
      <c r="J684" s="169"/>
      <c r="K684" s="169"/>
      <c r="L684" s="169"/>
      <c r="M684" s="169"/>
      <c r="N684" s="169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</row>
    <row r="685" spans="1:26" ht="15" x14ac:dyDescent="0.2">
      <c r="A685" s="169"/>
      <c r="B685" s="169"/>
      <c r="C685" s="169"/>
      <c r="D685" s="169"/>
      <c r="E685" s="169"/>
      <c r="F685" s="169"/>
      <c r="G685" s="169"/>
      <c r="H685" s="169"/>
      <c r="I685" s="169"/>
      <c r="J685" s="169"/>
      <c r="K685" s="169"/>
      <c r="L685" s="169"/>
      <c r="M685" s="169"/>
      <c r="N685" s="169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</row>
    <row r="686" spans="1:26" ht="15" x14ac:dyDescent="0.2">
      <c r="A686" s="169"/>
      <c r="B686" s="169"/>
      <c r="C686" s="169"/>
      <c r="D686" s="169"/>
      <c r="E686" s="169"/>
      <c r="F686" s="169"/>
      <c r="G686" s="169"/>
      <c r="H686" s="169"/>
      <c r="I686" s="169"/>
      <c r="J686" s="169"/>
      <c r="K686" s="169"/>
      <c r="L686" s="169"/>
      <c r="M686" s="169"/>
      <c r="N686" s="169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</row>
    <row r="687" spans="1:26" ht="15" x14ac:dyDescent="0.2">
      <c r="A687" s="169"/>
      <c r="B687" s="169"/>
      <c r="C687" s="169"/>
      <c r="D687" s="169"/>
      <c r="E687" s="169"/>
      <c r="F687" s="169"/>
      <c r="G687" s="169"/>
      <c r="H687" s="169"/>
      <c r="I687" s="169"/>
      <c r="J687" s="169"/>
      <c r="K687" s="169"/>
      <c r="L687" s="169"/>
      <c r="M687" s="169"/>
      <c r="N687" s="169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</row>
    <row r="688" spans="1:26" ht="15" x14ac:dyDescent="0.2">
      <c r="A688" s="169"/>
      <c r="B688" s="169"/>
      <c r="C688" s="169"/>
      <c r="D688" s="169"/>
      <c r="E688" s="169"/>
      <c r="F688" s="169"/>
      <c r="G688" s="169"/>
      <c r="H688" s="169"/>
      <c r="I688" s="169"/>
      <c r="J688" s="169"/>
      <c r="K688" s="169"/>
      <c r="L688" s="169"/>
      <c r="M688" s="169"/>
      <c r="N688" s="169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</row>
    <row r="689" spans="1:26" ht="15" x14ac:dyDescent="0.2">
      <c r="A689" s="169"/>
      <c r="B689" s="169"/>
      <c r="C689" s="169"/>
      <c r="D689" s="169"/>
      <c r="E689" s="169"/>
      <c r="F689" s="169"/>
      <c r="G689" s="169"/>
      <c r="H689" s="169"/>
      <c r="I689" s="169"/>
      <c r="J689" s="169"/>
      <c r="K689" s="169"/>
      <c r="L689" s="169"/>
      <c r="M689" s="169"/>
      <c r="N689" s="169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</row>
    <row r="690" spans="1:26" ht="15" x14ac:dyDescent="0.2">
      <c r="A690" s="169"/>
      <c r="B690" s="169"/>
      <c r="C690" s="169"/>
      <c r="D690" s="169"/>
      <c r="E690" s="169"/>
      <c r="F690" s="169"/>
      <c r="G690" s="169"/>
      <c r="H690" s="169"/>
      <c r="I690" s="169"/>
      <c r="J690" s="169"/>
      <c r="K690" s="169"/>
      <c r="L690" s="169"/>
      <c r="M690" s="169"/>
      <c r="N690" s="169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</row>
    <row r="691" spans="1:26" ht="15" x14ac:dyDescent="0.2">
      <c r="A691" s="169"/>
      <c r="B691" s="169"/>
      <c r="C691" s="169"/>
      <c r="D691" s="169"/>
      <c r="E691" s="169"/>
      <c r="F691" s="169"/>
      <c r="G691" s="169"/>
      <c r="H691" s="169"/>
      <c r="I691" s="169"/>
      <c r="J691" s="169"/>
      <c r="K691" s="169"/>
      <c r="L691" s="169"/>
      <c r="M691" s="169"/>
      <c r="N691" s="169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</row>
    <row r="692" spans="1:26" ht="15" x14ac:dyDescent="0.2">
      <c r="A692" s="169"/>
      <c r="B692" s="169"/>
      <c r="C692" s="169"/>
      <c r="D692" s="169"/>
      <c r="E692" s="169"/>
      <c r="F692" s="169"/>
      <c r="G692" s="169"/>
      <c r="H692" s="169"/>
      <c r="I692" s="169"/>
      <c r="J692" s="169"/>
      <c r="K692" s="169"/>
      <c r="L692" s="169"/>
      <c r="M692" s="169"/>
      <c r="N692" s="169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</row>
    <row r="693" spans="1:26" ht="15" x14ac:dyDescent="0.2">
      <c r="A693" s="169"/>
      <c r="B693" s="169"/>
      <c r="C693" s="169"/>
      <c r="D693" s="169"/>
      <c r="E693" s="169"/>
      <c r="F693" s="169"/>
      <c r="G693" s="169"/>
      <c r="H693" s="169"/>
      <c r="I693" s="169"/>
      <c r="J693" s="169"/>
      <c r="K693" s="169"/>
      <c r="L693" s="169"/>
      <c r="M693" s="169"/>
      <c r="N693" s="169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</row>
    <row r="694" spans="1:26" ht="15" x14ac:dyDescent="0.2">
      <c r="A694" s="169"/>
      <c r="B694" s="169"/>
      <c r="C694" s="169"/>
      <c r="D694" s="169"/>
      <c r="E694" s="169"/>
      <c r="F694" s="169"/>
      <c r="G694" s="169"/>
      <c r="H694" s="169"/>
      <c r="I694" s="169"/>
      <c r="J694" s="169"/>
      <c r="K694" s="169"/>
      <c r="L694" s="169"/>
      <c r="M694" s="169"/>
      <c r="N694" s="169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</row>
    <row r="695" spans="1:26" ht="15" x14ac:dyDescent="0.2">
      <c r="A695" s="169"/>
      <c r="B695" s="169"/>
      <c r="C695" s="169"/>
      <c r="D695" s="169"/>
      <c r="E695" s="169"/>
      <c r="F695" s="169"/>
      <c r="G695" s="169"/>
      <c r="H695" s="169"/>
      <c r="I695" s="169"/>
      <c r="J695" s="169"/>
      <c r="K695" s="169"/>
      <c r="L695" s="169"/>
      <c r="M695" s="169"/>
      <c r="N695" s="169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</row>
    <row r="696" spans="1:26" ht="15" x14ac:dyDescent="0.2">
      <c r="A696" s="169"/>
      <c r="B696" s="169"/>
      <c r="C696" s="169"/>
      <c r="D696" s="169"/>
      <c r="E696" s="169"/>
      <c r="F696" s="169"/>
      <c r="G696" s="169"/>
      <c r="H696" s="169"/>
      <c r="I696" s="169"/>
      <c r="J696" s="169"/>
      <c r="K696" s="169"/>
      <c r="L696" s="169"/>
      <c r="M696" s="169"/>
      <c r="N696" s="169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</row>
    <row r="697" spans="1:26" ht="15" x14ac:dyDescent="0.2">
      <c r="A697" s="169"/>
      <c r="B697" s="169"/>
      <c r="C697" s="169"/>
      <c r="D697" s="169"/>
      <c r="E697" s="169"/>
      <c r="F697" s="169"/>
      <c r="G697" s="169"/>
      <c r="H697" s="169"/>
      <c r="I697" s="169"/>
      <c r="J697" s="169"/>
      <c r="K697" s="169"/>
      <c r="L697" s="169"/>
      <c r="M697" s="169"/>
      <c r="N697" s="169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</row>
    <row r="698" spans="1:26" ht="15" x14ac:dyDescent="0.2">
      <c r="A698" s="169"/>
      <c r="B698" s="169"/>
      <c r="C698" s="169"/>
      <c r="D698" s="169"/>
      <c r="E698" s="169"/>
      <c r="F698" s="169"/>
      <c r="G698" s="169"/>
      <c r="H698" s="169"/>
      <c r="I698" s="169"/>
      <c r="J698" s="169"/>
      <c r="K698" s="169"/>
      <c r="L698" s="169"/>
      <c r="M698" s="169"/>
      <c r="N698" s="169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</row>
    <row r="699" spans="1:26" ht="15" x14ac:dyDescent="0.2">
      <c r="A699" s="169"/>
      <c r="B699" s="169"/>
      <c r="C699" s="169"/>
      <c r="D699" s="169"/>
      <c r="E699" s="169"/>
      <c r="F699" s="169"/>
      <c r="G699" s="169"/>
      <c r="H699" s="169"/>
      <c r="I699" s="169"/>
      <c r="J699" s="169"/>
      <c r="K699" s="169"/>
      <c r="L699" s="169"/>
      <c r="M699" s="169"/>
      <c r="N699" s="169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</row>
    <row r="700" spans="1:26" ht="15" x14ac:dyDescent="0.2">
      <c r="A700" s="169"/>
      <c r="B700" s="169"/>
      <c r="C700" s="169"/>
      <c r="D700" s="169"/>
      <c r="E700" s="169"/>
      <c r="F700" s="169"/>
      <c r="G700" s="169"/>
      <c r="H700" s="169"/>
      <c r="I700" s="169"/>
      <c r="J700" s="169"/>
      <c r="K700" s="169"/>
      <c r="L700" s="169"/>
      <c r="M700" s="169"/>
      <c r="N700" s="169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</row>
    <row r="701" spans="1:26" ht="15" x14ac:dyDescent="0.2">
      <c r="A701" s="169"/>
      <c r="B701" s="169"/>
      <c r="C701" s="169"/>
      <c r="D701" s="169"/>
      <c r="E701" s="169"/>
      <c r="F701" s="169"/>
      <c r="G701" s="169"/>
      <c r="H701" s="169"/>
      <c r="I701" s="169"/>
      <c r="J701" s="169"/>
      <c r="K701" s="169"/>
      <c r="L701" s="169"/>
      <c r="M701" s="169"/>
      <c r="N701" s="169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</row>
    <row r="702" spans="1:26" ht="15" x14ac:dyDescent="0.2">
      <c r="A702" s="169"/>
      <c r="B702" s="169"/>
      <c r="C702" s="169"/>
      <c r="D702" s="169"/>
      <c r="E702" s="169"/>
      <c r="F702" s="169"/>
      <c r="G702" s="169"/>
      <c r="H702" s="169"/>
      <c r="I702" s="169"/>
      <c r="J702" s="169"/>
      <c r="K702" s="169"/>
      <c r="L702" s="169"/>
      <c r="M702" s="169"/>
      <c r="N702" s="169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</row>
    <row r="703" spans="1:26" ht="15" x14ac:dyDescent="0.2">
      <c r="A703" s="169"/>
      <c r="B703" s="169"/>
      <c r="C703" s="169"/>
      <c r="D703" s="169"/>
      <c r="E703" s="169"/>
      <c r="F703" s="169"/>
      <c r="G703" s="169"/>
      <c r="H703" s="169"/>
      <c r="I703" s="169"/>
      <c r="J703" s="169"/>
      <c r="K703" s="169"/>
      <c r="L703" s="169"/>
      <c r="M703" s="169"/>
      <c r="N703" s="169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</row>
    <row r="704" spans="1:26" ht="15" x14ac:dyDescent="0.2">
      <c r="A704" s="169"/>
      <c r="B704" s="169"/>
      <c r="C704" s="169"/>
      <c r="D704" s="169"/>
      <c r="E704" s="169"/>
      <c r="F704" s="169"/>
      <c r="G704" s="169"/>
      <c r="H704" s="169"/>
      <c r="I704" s="169"/>
      <c r="J704" s="169"/>
      <c r="K704" s="169"/>
      <c r="L704" s="169"/>
      <c r="M704" s="169"/>
      <c r="N704" s="169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</row>
    <row r="705" spans="1:26" ht="15" x14ac:dyDescent="0.2">
      <c r="A705" s="169"/>
      <c r="B705" s="169"/>
      <c r="C705" s="169"/>
      <c r="D705" s="169"/>
      <c r="E705" s="169"/>
      <c r="F705" s="169"/>
      <c r="G705" s="169"/>
      <c r="H705" s="169"/>
      <c r="I705" s="169"/>
      <c r="J705" s="169"/>
      <c r="K705" s="169"/>
      <c r="L705" s="169"/>
      <c r="M705" s="169"/>
      <c r="N705" s="169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</row>
    <row r="706" spans="1:26" ht="15" x14ac:dyDescent="0.2">
      <c r="A706" s="169"/>
      <c r="B706" s="169"/>
      <c r="C706" s="169"/>
      <c r="D706" s="169"/>
      <c r="E706" s="169"/>
      <c r="F706" s="169"/>
      <c r="G706" s="169"/>
      <c r="H706" s="169"/>
      <c r="I706" s="169"/>
      <c r="J706" s="169"/>
      <c r="K706" s="169"/>
      <c r="L706" s="169"/>
      <c r="M706" s="169"/>
      <c r="N706" s="169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</row>
    <row r="707" spans="1:26" ht="15" x14ac:dyDescent="0.2">
      <c r="A707" s="169"/>
      <c r="B707" s="169"/>
      <c r="C707" s="169"/>
      <c r="D707" s="169"/>
      <c r="E707" s="169"/>
      <c r="F707" s="169"/>
      <c r="G707" s="169"/>
      <c r="H707" s="169"/>
      <c r="I707" s="169"/>
      <c r="J707" s="169"/>
      <c r="K707" s="169"/>
      <c r="L707" s="169"/>
      <c r="M707" s="169"/>
      <c r="N707" s="169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</row>
    <row r="708" spans="1:26" ht="15" x14ac:dyDescent="0.2">
      <c r="A708" s="169"/>
      <c r="B708" s="169"/>
      <c r="C708" s="169"/>
      <c r="D708" s="169"/>
      <c r="E708" s="169"/>
      <c r="F708" s="169"/>
      <c r="G708" s="169"/>
      <c r="H708" s="169"/>
      <c r="I708" s="169"/>
      <c r="J708" s="169"/>
      <c r="K708" s="169"/>
      <c r="L708" s="169"/>
      <c r="M708" s="169"/>
      <c r="N708" s="169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</row>
    <row r="709" spans="1:26" ht="15" x14ac:dyDescent="0.2">
      <c r="A709" s="169"/>
      <c r="B709" s="169"/>
      <c r="C709" s="169"/>
      <c r="D709" s="169"/>
      <c r="E709" s="169"/>
      <c r="F709" s="169"/>
      <c r="G709" s="169"/>
      <c r="H709" s="169"/>
      <c r="I709" s="169"/>
      <c r="J709" s="169"/>
      <c r="K709" s="169"/>
      <c r="L709" s="169"/>
      <c r="M709" s="169"/>
      <c r="N709" s="169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</row>
    <row r="710" spans="1:26" ht="15" x14ac:dyDescent="0.2">
      <c r="A710" s="169"/>
      <c r="B710" s="169"/>
      <c r="C710" s="169"/>
      <c r="D710" s="169"/>
      <c r="E710" s="169"/>
      <c r="F710" s="169"/>
      <c r="G710" s="169"/>
      <c r="H710" s="169"/>
      <c r="I710" s="169"/>
      <c r="J710" s="169"/>
      <c r="K710" s="169"/>
      <c r="L710" s="169"/>
      <c r="M710" s="169"/>
      <c r="N710" s="169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</row>
    <row r="711" spans="1:26" ht="15" x14ac:dyDescent="0.2">
      <c r="A711" s="169"/>
      <c r="B711" s="169"/>
      <c r="C711" s="169"/>
      <c r="D711" s="169"/>
      <c r="E711" s="169"/>
      <c r="F711" s="169"/>
      <c r="G711" s="169"/>
      <c r="H711" s="169"/>
      <c r="I711" s="169"/>
      <c r="J711" s="169"/>
      <c r="K711" s="169"/>
      <c r="L711" s="169"/>
      <c r="M711" s="169"/>
      <c r="N711" s="169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</row>
    <row r="712" spans="1:26" ht="15" x14ac:dyDescent="0.2">
      <c r="A712" s="169"/>
      <c r="B712" s="169"/>
      <c r="C712" s="169"/>
      <c r="D712" s="169"/>
      <c r="E712" s="169"/>
      <c r="F712" s="169"/>
      <c r="G712" s="169"/>
      <c r="H712" s="169"/>
      <c r="I712" s="169"/>
      <c r="J712" s="169"/>
      <c r="K712" s="169"/>
      <c r="L712" s="169"/>
      <c r="M712" s="169"/>
      <c r="N712" s="169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</row>
    <row r="713" spans="1:26" ht="15" x14ac:dyDescent="0.2">
      <c r="A713" s="169"/>
      <c r="B713" s="169"/>
      <c r="C713" s="169"/>
      <c r="D713" s="169"/>
      <c r="E713" s="169"/>
      <c r="F713" s="169"/>
      <c r="G713" s="169"/>
      <c r="H713" s="169"/>
      <c r="I713" s="169"/>
      <c r="J713" s="169"/>
      <c r="K713" s="169"/>
      <c r="L713" s="169"/>
      <c r="M713" s="169"/>
      <c r="N713" s="169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</row>
    <row r="714" spans="1:26" ht="15" x14ac:dyDescent="0.2">
      <c r="A714" s="169"/>
      <c r="B714" s="169"/>
      <c r="C714" s="169"/>
      <c r="D714" s="169"/>
      <c r="E714" s="169"/>
      <c r="F714" s="169"/>
      <c r="G714" s="169"/>
      <c r="H714" s="169"/>
      <c r="I714" s="169"/>
      <c r="J714" s="169"/>
      <c r="K714" s="169"/>
      <c r="L714" s="169"/>
      <c r="M714" s="169"/>
      <c r="N714" s="169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</row>
    <row r="715" spans="1:26" ht="15" x14ac:dyDescent="0.2">
      <c r="A715" s="169"/>
      <c r="B715" s="169"/>
      <c r="C715" s="169"/>
      <c r="D715" s="169"/>
      <c r="E715" s="169"/>
      <c r="F715" s="169"/>
      <c r="G715" s="169"/>
      <c r="H715" s="169"/>
      <c r="I715" s="169"/>
      <c r="J715" s="169"/>
      <c r="K715" s="169"/>
      <c r="L715" s="169"/>
      <c r="M715" s="169"/>
      <c r="N715" s="169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</row>
    <row r="716" spans="1:26" ht="15" x14ac:dyDescent="0.2">
      <c r="A716" s="169"/>
      <c r="B716" s="169"/>
      <c r="C716" s="169"/>
      <c r="D716" s="169"/>
      <c r="E716" s="169"/>
      <c r="F716" s="169"/>
      <c r="G716" s="169"/>
      <c r="H716" s="169"/>
      <c r="I716" s="169"/>
      <c r="J716" s="169"/>
      <c r="K716" s="169"/>
      <c r="L716" s="169"/>
      <c r="M716" s="169"/>
      <c r="N716" s="169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</row>
    <row r="717" spans="1:26" ht="15" x14ac:dyDescent="0.2">
      <c r="A717" s="169"/>
      <c r="B717" s="169"/>
      <c r="C717" s="169"/>
      <c r="D717" s="169"/>
      <c r="E717" s="169"/>
      <c r="F717" s="169"/>
      <c r="G717" s="169"/>
      <c r="H717" s="169"/>
      <c r="I717" s="169"/>
      <c r="J717" s="169"/>
      <c r="K717" s="169"/>
      <c r="L717" s="169"/>
      <c r="M717" s="169"/>
      <c r="N717" s="169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</row>
    <row r="718" spans="1:26" ht="15" x14ac:dyDescent="0.2">
      <c r="A718" s="169"/>
      <c r="B718" s="169"/>
      <c r="C718" s="169"/>
      <c r="D718" s="169"/>
      <c r="E718" s="169"/>
      <c r="F718" s="169"/>
      <c r="G718" s="169"/>
      <c r="H718" s="169"/>
      <c r="I718" s="169"/>
      <c r="J718" s="169"/>
      <c r="K718" s="169"/>
      <c r="L718" s="169"/>
      <c r="M718" s="169"/>
      <c r="N718" s="169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</row>
    <row r="719" spans="1:26" ht="15" x14ac:dyDescent="0.2">
      <c r="A719" s="169"/>
      <c r="B719" s="169"/>
      <c r="C719" s="169"/>
      <c r="D719" s="169"/>
      <c r="E719" s="169"/>
      <c r="F719" s="169"/>
      <c r="G719" s="169"/>
      <c r="H719" s="169"/>
      <c r="I719" s="169"/>
      <c r="J719" s="169"/>
      <c r="K719" s="169"/>
      <c r="L719" s="169"/>
      <c r="M719" s="169"/>
      <c r="N719" s="169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</row>
    <row r="720" spans="1:26" ht="15" x14ac:dyDescent="0.2">
      <c r="A720" s="169"/>
      <c r="B720" s="169"/>
      <c r="C720" s="169"/>
      <c r="D720" s="169"/>
      <c r="E720" s="169"/>
      <c r="F720" s="169"/>
      <c r="G720" s="169"/>
      <c r="H720" s="169"/>
      <c r="I720" s="169"/>
      <c r="J720" s="169"/>
      <c r="K720" s="169"/>
      <c r="L720" s="169"/>
      <c r="M720" s="169"/>
      <c r="N720" s="169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</row>
    <row r="721" spans="1:26" ht="15" x14ac:dyDescent="0.2">
      <c r="A721" s="169"/>
      <c r="B721" s="169"/>
      <c r="C721" s="169"/>
      <c r="D721" s="169"/>
      <c r="E721" s="169"/>
      <c r="F721" s="169"/>
      <c r="G721" s="169"/>
      <c r="H721" s="169"/>
      <c r="I721" s="169"/>
      <c r="J721" s="169"/>
      <c r="K721" s="169"/>
      <c r="L721" s="169"/>
      <c r="M721" s="169"/>
      <c r="N721" s="169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</row>
    <row r="722" spans="1:26" ht="15" x14ac:dyDescent="0.2">
      <c r="A722" s="169"/>
      <c r="B722" s="169"/>
      <c r="C722" s="169"/>
      <c r="D722" s="169"/>
      <c r="E722" s="169"/>
      <c r="F722" s="169"/>
      <c r="G722" s="169"/>
      <c r="H722" s="169"/>
      <c r="I722" s="169"/>
      <c r="J722" s="169"/>
      <c r="K722" s="169"/>
      <c r="L722" s="169"/>
      <c r="M722" s="169"/>
      <c r="N722" s="169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</row>
    <row r="723" spans="1:26" ht="15" x14ac:dyDescent="0.2">
      <c r="A723" s="169"/>
      <c r="B723" s="169"/>
      <c r="C723" s="169"/>
      <c r="D723" s="169"/>
      <c r="E723" s="169"/>
      <c r="F723" s="169"/>
      <c r="G723" s="169"/>
      <c r="H723" s="169"/>
      <c r="I723" s="169"/>
      <c r="J723" s="169"/>
      <c r="K723" s="169"/>
      <c r="L723" s="169"/>
      <c r="M723" s="169"/>
      <c r="N723" s="169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</row>
    <row r="724" spans="1:26" ht="15" x14ac:dyDescent="0.2">
      <c r="A724" s="169"/>
      <c r="B724" s="169"/>
      <c r="C724" s="169"/>
      <c r="D724" s="169"/>
      <c r="E724" s="169"/>
      <c r="F724" s="169"/>
      <c r="G724" s="169"/>
      <c r="H724" s="169"/>
      <c r="I724" s="169"/>
      <c r="J724" s="169"/>
      <c r="K724" s="169"/>
      <c r="L724" s="169"/>
      <c r="M724" s="169"/>
      <c r="N724" s="169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</row>
    <row r="725" spans="1:26" ht="15" x14ac:dyDescent="0.2">
      <c r="A725" s="169"/>
      <c r="B725" s="169"/>
      <c r="C725" s="169"/>
      <c r="D725" s="169"/>
      <c r="E725" s="169"/>
      <c r="F725" s="169"/>
      <c r="G725" s="169"/>
      <c r="H725" s="169"/>
      <c r="I725" s="169"/>
      <c r="J725" s="169"/>
      <c r="K725" s="169"/>
      <c r="L725" s="169"/>
      <c r="M725" s="169"/>
      <c r="N725" s="169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</row>
    <row r="726" spans="1:26" ht="15" x14ac:dyDescent="0.2">
      <c r="A726" s="169"/>
      <c r="B726" s="169"/>
      <c r="C726" s="169"/>
      <c r="D726" s="169"/>
      <c r="E726" s="169"/>
      <c r="F726" s="169"/>
      <c r="G726" s="169"/>
      <c r="H726" s="169"/>
      <c r="I726" s="169"/>
      <c r="J726" s="169"/>
      <c r="K726" s="169"/>
      <c r="L726" s="169"/>
      <c r="M726" s="169"/>
      <c r="N726" s="169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</row>
    <row r="727" spans="1:26" ht="15" x14ac:dyDescent="0.2">
      <c r="A727" s="169"/>
      <c r="B727" s="169"/>
      <c r="C727" s="169"/>
      <c r="D727" s="169"/>
      <c r="E727" s="169"/>
      <c r="F727" s="169"/>
      <c r="G727" s="169"/>
      <c r="H727" s="169"/>
      <c r="I727" s="169"/>
      <c r="J727" s="169"/>
      <c r="K727" s="169"/>
      <c r="L727" s="169"/>
      <c r="M727" s="169"/>
      <c r="N727" s="169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</row>
    <row r="728" spans="1:26" ht="15" x14ac:dyDescent="0.2">
      <c r="A728" s="169"/>
      <c r="B728" s="169"/>
      <c r="C728" s="169"/>
      <c r="D728" s="169"/>
      <c r="E728" s="169"/>
      <c r="F728" s="169"/>
      <c r="G728" s="169"/>
      <c r="H728" s="169"/>
      <c r="I728" s="169"/>
      <c r="J728" s="169"/>
      <c r="K728" s="169"/>
      <c r="L728" s="169"/>
      <c r="M728" s="169"/>
      <c r="N728" s="169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</row>
    <row r="729" spans="1:26" ht="15" x14ac:dyDescent="0.2">
      <c r="A729" s="169"/>
      <c r="B729" s="169"/>
      <c r="C729" s="169"/>
      <c r="D729" s="169"/>
      <c r="E729" s="169"/>
      <c r="F729" s="169"/>
      <c r="G729" s="169"/>
      <c r="H729" s="169"/>
      <c r="I729" s="169"/>
      <c r="J729" s="169"/>
      <c r="K729" s="169"/>
      <c r="L729" s="169"/>
      <c r="M729" s="169"/>
      <c r="N729" s="169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</row>
    <row r="730" spans="1:26" ht="15" x14ac:dyDescent="0.2">
      <c r="A730" s="169"/>
      <c r="B730" s="169"/>
      <c r="C730" s="169"/>
      <c r="D730" s="169"/>
      <c r="E730" s="169"/>
      <c r="F730" s="169"/>
      <c r="G730" s="169"/>
      <c r="H730" s="169"/>
      <c r="I730" s="169"/>
      <c r="J730" s="169"/>
      <c r="K730" s="169"/>
      <c r="L730" s="169"/>
      <c r="M730" s="169"/>
      <c r="N730" s="169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</row>
    <row r="731" spans="1:26" ht="15" x14ac:dyDescent="0.2">
      <c r="A731" s="169"/>
      <c r="B731" s="169"/>
      <c r="C731" s="169"/>
      <c r="D731" s="169"/>
      <c r="E731" s="169"/>
      <c r="F731" s="169"/>
      <c r="G731" s="169"/>
      <c r="H731" s="169"/>
      <c r="I731" s="169"/>
      <c r="J731" s="169"/>
      <c r="K731" s="169"/>
      <c r="L731" s="169"/>
      <c r="M731" s="169"/>
      <c r="N731" s="169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</row>
    <row r="732" spans="1:26" ht="15" x14ac:dyDescent="0.2">
      <c r="A732" s="169"/>
      <c r="B732" s="169"/>
      <c r="C732" s="169"/>
      <c r="D732" s="169"/>
      <c r="E732" s="169"/>
      <c r="F732" s="169"/>
      <c r="G732" s="169"/>
      <c r="H732" s="169"/>
      <c r="I732" s="169"/>
      <c r="J732" s="169"/>
      <c r="K732" s="169"/>
      <c r="L732" s="169"/>
      <c r="M732" s="169"/>
      <c r="N732" s="169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</row>
    <row r="733" spans="1:26" ht="15" x14ac:dyDescent="0.2">
      <c r="A733" s="169"/>
      <c r="B733" s="169"/>
      <c r="C733" s="169"/>
      <c r="D733" s="169"/>
      <c r="E733" s="169"/>
      <c r="F733" s="169"/>
      <c r="G733" s="169"/>
      <c r="H733" s="169"/>
      <c r="I733" s="169"/>
      <c r="J733" s="169"/>
      <c r="K733" s="169"/>
      <c r="L733" s="169"/>
      <c r="M733" s="169"/>
      <c r="N733" s="169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</row>
    <row r="734" spans="1:26" ht="15" x14ac:dyDescent="0.2">
      <c r="A734" s="169"/>
      <c r="B734" s="169"/>
      <c r="C734" s="169"/>
      <c r="D734" s="169"/>
      <c r="E734" s="169"/>
      <c r="F734" s="169"/>
      <c r="G734" s="169"/>
      <c r="H734" s="169"/>
      <c r="I734" s="169"/>
      <c r="J734" s="169"/>
      <c r="K734" s="169"/>
      <c r="L734" s="169"/>
      <c r="M734" s="169"/>
      <c r="N734" s="169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</row>
    <row r="735" spans="1:26" ht="15" x14ac:dyDescent="0.2">
      <c r="A735" s="169"/>
      <c r="B735" s="169"/>
      <c r="C735" s="169"/>
      <c r="D735" s="169"/>
      <c r="E735" s="169"/>
      <c r="F735" s="169"/>
      <c r="G735" s="169"/>
      <c r="H735" s="169"/>
      <c r="I735" s="169"/>
      <c r="J735" s="169"/>
      <c r="K735" s="169"/>
      <c r="L735" s="169"/>
      <c r="M735" s="169"/>
      <c r="N735" s="169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</row>
    <row r="736" spans="1:26" ht="15" x14ac:dyDescent="0.2">
      <c r="A736" s="169"/>
      <c r="B736" s="169"/>
      <c r="C736" s="169"/>
      <c r="D736" s="169"/>
      <c r="E736" s="169"/>
      <c r="F736" s="169"/>
      <c r="G736" s="169"/>
      <c r="H736" s="169"/>
      <c r="I736" s="169"/>
      <c r="J736" s="169"/>
      <c r="K736" s="169"/>
      <c r="L736" s="169"/>
      <c r="M736" s="169"/>
      <c r="N736" s="169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</row>
    <row r="737" spans="1:26" ht="15" x14ac:dyDescent="0.2">
      <c r="A737" s="169"/>
      <c r="B737" s="169"/>
      <c r="C737" s="169"/>
      <c r="D737" s="169"/>
      <c r="E737" s="169"/>
      <c r="F737" s="169"/>
      <c r="G737" s="169"/>
      <c r="H737" s="169"/>
      <c r="I737" s="169"/>
      <c r="J737" s="169"/>
      <c r="K737" s="169"/>
      <c r="L737" s="169"/>
      <c r="M737" s="169"/>
      <c r="N737" s="169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</row>
    <row r="738" spans="1:26" ht="15" x14ac:dyDescent="0.2">
      <c r="A738" s="169"/>
      <c r="B738" s="169"/>
      <c r="C738" s="169"/>
      <c r="D738" s="169"/>
      <c r="E738" s="169"/>
      <c r="F738" s="169"/>
      <c r="G738" s="169"/>
      <c r="H738" s="169"/>
      <c r="I738" s="169"/>
      <c r="J738" s="169"/>
      <c r="K738" s="169"/>
      <c r="L738" s="169"/>
      <c r="M738" s="169"/>
      <c r="N738" s="169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</row>
    <row r="739" spans="1:26" ht="15" x14ac:dyDescent="0.2">
      <c r="A739" s="169"/>
      <c r="B739" s="169"/>
      <c r="C739" s="169"/>
      <c r="D739" s="169"/>
      <c r="E739" s="169"/>
      <c r="F739" s="169"/>
      <c r="G739" s="169"/>
      <c r="H739" s="169"/>
      <c r="I739" s="169"/>
      <c r="J739" s="169"/>
      <c r="K739" s="169"/>
      <c r="L739" s="169"/>
      <c r="M739" s="169"/>
      <c r="N739" s="169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</row>
    <row r="740" spans="1:26" ht="15" x14ac:dyDescent="0.2">
      <c r="A740" s="169"/>
      <c r="B740" s="169"/>
      <c r="C740" s="169"/>
      <c r="D740" s="169"/>
      <c r="E740" s="169"/>
      <c r="F740" s="169"/>
      <c r="G740" s="169"/>
      <c r="H740" s="169"/>
      <c r="I740" s="169"/>
      <c r="J740" s="169"/>
      <c r="K740" s="169"/>
      <c r="L740" s="169"/>
      <c r="M740" s="169"/>
      <c r="N740" s="169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</row>
    <row r="741" spans="1:26" ht="15" x14ac:dyDescent="0.2">
      <c r="A741" s="169"/>
      <c r="B741" s="169"/>
      <c r="C741" s="169"/>
      <c r="D741" s="169"/>
      <c r="E741" s="169"/>
      <c r="F741" s="169"/>
      <c r="G741" s="169"/>
      <c r="H741" s="169"/>
      <c r="I741" s="169"/>
      <c r="J741" s="169"/>
      <c r="K741" s="169"/>
      <c r="L741" s="169"/>
      <c r="M741" s="169"/>
      <c r="N741" s="169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</row>
    <row r="742" spans="1:26" ht="15" x14ac:dyDescent="0.2">
      <c r="A742" s="169"/>
      <c r="B742" s="169"/>
      <c r="C742" s="169"/>
      <c r="D742" s="169"/>
      <c r="E742" s="169"/>
      <c r="F742" s="169"/>
      <c r="G742" s="169"/>
      <c r="H742" s="169"/>
      <c r="I742" s="169"/>
      <c r="J742" s="169"/>
      <c r="K742" s="169"/>
      <c r="L742" s="169"/>
      <c r="M742" s="169"/>
      <c r="N742" s="169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</row>
    <row r="743" spans="1:26" ht="15" x14ac:dyDescent="0.2">
      <c r="A743" s="169"/>
      <c r="B743" s="169"/>
      <c r="C743" s="169"/>
      <c r="D743" s="169"/>
      <c r="E743" s="169"/>
      <c r="F743" s="169"/>
      <c r="G743" s="169"/>
      <c r="H743" s="169"/>
      <c r="I743" s="169"/>
      <c r="J743" s="169"/>
      <c r="K743" s="169"/>
      <c r="L743" s="169"/>
      <c r="M743" s="169"/>
      <c r="N743" s="169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</row>
    <row r="744" spans="1:26" ht="15" x14ac:dyDescent="0.2">
      <c r="A744" s="169"/>
      <c r="B744" s="169"/>
      <c r="C744" s="169"/>
      <c r="D744" s="169"/>
      <c r="E744" s="169"/>
      <c r="F744" s="169"/>
      <c r="G744" s="169"/>
      <c r="H744" s="169"/>
      <c r="I744" s="169"/>
      <c r="J744" s="169"/>
      <c r="K744" s="169"/>
      <c r="L744" s="169"/>
      <c r="M744" s="169"/>
      <c r="N744" s="169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</row>
    <row r="745" spans="1:26" ht="15" x14ac:dyDescent="0.2">
      <c r="A745" s="169"/>
      <c r="B745" s="169"/>
      <c r="C745" s="169"/>
      <c r="D745" s="169"/>
      <c r="E745" s="169"/>
      <c r="F745" s="169"/>
      <c r="G745" s="169"/>
      <c r="H745" s="169"/>
      <c r="I745" s="169"/>
      <c r="J745" s="169"/>
      <c r="K745" s="169"/>
      <c r="L745" s="169"/>
      <c r="M745" s="169"/>
      <c r="N745" s="169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</row>
    <row r="746" spans="1:26" ht="15" x14ac:dyDescent="0.2">
      <c r="A746" s="169"/>
      <c r="B746" s="169"/>
      <c r="C746" s="169"/>
      <c r="D746" s="169"/>
      <c r="E746" s="169"/>
      <c r="F746" s="169"/>
      <c r="G746" s="169"/>
      <c r="H746" s="169"/>
      <c r="I746" s="169"/>
      <c r="J746" s="169"/>
      <c r="K746" s="169"/>
      <c r="L746" s="169"/>
      <c r="M746" s="169"/>
      <c r="N746" s="169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</row>
    <row r="747" spans="1:26" ht="15" x14ac:dyDescent="0.2">
      <c r="A747" s="169"/>
      <c r="B747" s="169"/>
      <c r="C747" s="169"/>
      <c r="D747" s="169"/>
      <c r="E747" s="169"/>
      <c r="F747" s="169"/>
      <c r="G747" s="169"/>
      <c r="H747" s="169"/>
      <c r="I747" s="169"/>
      <c r="J747" s="169"/>
      <c r="K747" s="169"/>
      <c r="L747" s="169"/>
      <c r="M747" s="169"/>
      <c r="N747" s="169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</row>
    <row r="748" spans="1:26" ht="15" x14ac:dyDescent="0.2">
      <c r="A748" s="169"/>
      <c r="B748" s="169"/>
      <c r="C748" s="169"/>
      <c r="D748" s="169"/>
      <c r="E748" s="169"/>
      <c r="F748" s="169"/>
      <c r="G748" s="169"/>
      <c r="H748" s="169"/>
      <c r="I748" s="169"/>
      <c r="J748" s="169"/>
      <c r="K748" s="169"/>
      <c r="L748" s="169"/>
      <c r="M748" s="169"/>
      <c r="N748" s="169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</row>
    <row r="749" spans="1:26" ht="15" x14ac:dyDescent="0.2">
      <c r="A749" s="169"/>
      <c r="B749" s="169"/>
      <c r="C749" s="169"/>
      <c r="D749" s="169"/>
      <c r="E749" s="169"/>
      <c r="F749" s="169"/>
      <c r="G749" s="169"/>
      <c r="H749" s="169"/>
      <c r="I749" s="169"/>
      <c r="J749" s="169"/>
      <c r="K749" s="169"/>
      <c r="L749" s="169"/>
      <c r="M749" s="169"/>
      <c r="N749" s="169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</row>
    <row r="750" spans="1:26" ht="15" x14ac:dyDescent="0.2">
      <c r="A750" s="169"/>
      <c r="B750" s="169"/>
      <c r="C750" s="169"/>
      <c r="D750" s="169"/>
      <c r="E750" s="169"/>
      <c r="F750" s="169"/>
      <c r="G750" s="169"/>
      <c r="H750" s="169"/>
      <c r="I750" s="169"/>
      <c r="J750" s="169"/>
      <c r="K750" s="169"/>
      <c r="L750" s="169"/>
      <c r="M750" s="169"/>
      <c r="N750" s="169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</row>
    <row r="751" spans="1:26" ht="15" x14ac:dyDescent="0.2">
      <c r="A751" s="169"/>
      <c r="B751" s="169"/>
      <c r="C751" s="169"/>
      <c r="D751" s="169"/>
      <c r="E751" s="169"/>
      <c r="F751" s="169"/>
      <c r="G751" s="169"/>
      <c r="H751" s="169"/>
      <c r="I751" s="169"/>
      <c r="J751" s="169"/>
      <c r="K751" s="169"/>
      <c r="L751" s="169"/>
      <c r="M751" s="169"/>
      <c r="N751" s="169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</row>
    <row r="752" spans="1:26" ht="15" x14ac:dyDescent="0.2">
      <c r="A752" s="169"/>
      <c r="B752" s="169"/>
      <c r="C752" s="169"/>
      <c r="D752" s="169"/>
      <c r="E752" s="169"/>
      <c r="F752" s="169"/>
      <c r="G752" s="169"/>
      <c r="H752" s="169"/>
      <c r="I752" s="169"/>
      <c r="J752" s="169"/>
      <c r="K752" s="169"/>
      <c r="L752" s="169"/>
      <c r="M752" s="169"/>
      <c r="N752" s="169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</row>
    <row r="753" spans="1:26" ht="15" x14ac:dyDescent="0.2">
      <c r="A753" s="169"/>
      <c r="B753" s="169"/>
      <c r="C753" s="169"/>
      <c r="D753" s="169"/>
      <c r="E753" s="169"/>
      <c r="F753" s="169"/>
      <c r="G753" s="169"/>
      <c r="H753" s="169"/>
      <c r="I753" s="169"/>
      <c r="J753" s="169"/>
      <c r="K753" s="169"/>
      <c r="L753" s="169"/>
      <c r="M753" s="169"/>
      <c r="N753" s="169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</row>
    <row r="754" spans="1:26" ht="15" x14ac:dyDescent="0.2">
      <c r="A754" s="169"/>
      <c r="B754" s="169"/>
      <c r="C754" s="169"/>
      <c r="D754" s="169"/>
      <c r="E754" s="169"/>
      <c r="F754" s="169"/>
      <c r="G754" s="169"/>
      <c r="H754" s="169"/>
      <c r="I754" s="169"/>
      <c r="J754" s="169"/>
      <c r="K754" s="169"/>
      <c r="L754" s="169"/>
      <c r="M754" s="169"/>
      <c r="N754" s="169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</row>
    <row r="755" spans="1:26" ht="15" x14ac:dyDescent="0.2">
      <c r="A755" s="169"/>
      <c r="B755" s="169"/>
      <c r="C755" s="169"/>
      <c r="D755" s="169"/>
      <c r="E755" s="169"/>
      <c r="F755" s="169"/>
      <c r="G755" s="169"/>
      <c r="H755" s="169"/>
      <c r="I755" s="169"/>
      <c r="J755" s="169"/>
      <c r="K755" s="169"/>
      <c r="L755" s="169"/>
      <c r="M755" s="169"/>
      <c r="N755" s="169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</row>
    <row r="756" spans="1:26" ht="15" x14ac:dyDescent="0.2">
      <c r="A756" s="169"/>
      <c r="B756" s="169"/>
      <c r="C756" s="169"/>
      <c r="D756" s="169"/>
      <c r="E756" s="169"/>
      <c r="F756" s="169"/>
      <c r="G756" s="169"/>
      <c r="H756" s="169"/>
      <c r="I756" s="169"/>
      <c r="J756" s="169"/>
      <c r="K756" s="169"/>
      <c r="L756" s="169"/>
      <c r="M756" s="169"/>
      <c r="N756" s="169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</row>
    <row r="757" spans="1:26" ht="15" x14ac:dyDescent="0.2">
      <c r="A757" s="169"/>
      <c r="B757" s="169"/>
      <c r="C757" s="169"/>
      <c r="D757" s="169"/>
      <c r="E757" s="169"/>
      <c r="F757" s="169"/>
      <c r="G757" s="169"/>
      <c r="H757" s="169"/>
      <c r="I757" s="169"/>
      <c r="J757" s="169"/>
      <c r="K757" s="169"/>
      <c r="L757" s="169"/>
      <c r="M757" s="169"/>
      <c r="N757" s="169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</row>
    <row r="758" spans="1:26" ht="15" x14ac:dyDescent="0.2">
      <c r="A758" s="169"/>
      <c r="B758" s="169"/>
      <c r="C758" s="169"/>
      <c r="D758" s="169"/>
      <c r="E758" s="169"/>
      <c r="F758" s="169"/>
      <c r="G758" s="169"/>
      <c r="H758" s="169"/>
      <c r="I758" s="169"/>
      <c r="J758" s="169"/>
      <c r="K758" s="169"/>
      <c r="L758" s="169"/>
      <c r="M758" s="169"/>
      <c r="N758" s="169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</row>
    <row r="759" spans="1:26" ht="15" x14ac:dyDescent="0.2">
      <c r="A759" s="169"/>
      <c r="B759" s="169"/>
      <c r="C759" s="169"/>
      <c r="D759" s="169"/>
      <c r="E759" s="169"/>
      <c r="F759" s="169"/>
      <c r="G759" s="169"/>
      <c r="H759" s="169"/>
      <c r="I759" s="169"/>
      <c r="J759" s="169"/>
      <c r="K759" s="169"/>
      <c r="L759" s="169"/>
      <c r="M759" s="169"/>
      <c r="N759" s="169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</row>
    <row r="760" spans="1:26" ht="15" x14ac:dyDescent="0.2">
      <c r="A760" s="169"/>
      <c r="B760" s="169"/>
      <c r="C760" s="169"/>
      <c r="D760" s="169"/>
      <c r="E760" s="169"/>
      <c r="F760" s="169"/>
      <c r="G760" s="169"/>
      <c r="H760" s="169"/>
      <c r="I760" s="169"/>
      <c r="J760" s="169"/>
      <c r="K760" s="169"/>
      <c r="L760" s="169"/>
      <c r="M760" s="169"/>
      <c r="N760" s="169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</row>
    <row r="761" spans="1:26" ht="15" x14ac:dyDescent="0.2">
      <c r="A761" s="169"/>
      <c r="B761" s="169"/>
      <c r="C761" s="169"/>
      <c r="D761" s="169"/>
      <c r="E761" s="169"/>
      <c r="F761" s="169"/>
      <c r="G761" s="169"/>
      <c r="H761" s="169"/>
      <c r="I761" s="169"/>
      <c r="J761" s="169"/>
      <c r="K761" s="169"/>
      <c r="L761" s="169"/>
      <c r="M761" s="169"/>
      <c r="N761" s="169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</row>
    <row r="762" spans="1:26" ht="15" x14ac:dyDescent="0.2">
      <c r="A762" s="169"/>
      <c r="B762" s="169"/>
      <c r="C762" s="169"/>
      <c r="D762" s="169"/>
      <c r="E762" s="169"/>
      <c r="F762" s="169"/>
      <c r="G762" s="169"/>
      <c r="H762" s="169"/>
      <c r="I762" s="169"/>
      <c r="J762" s="169"/>
      <c r="K762" s="169"/>
      <c r="L762" s="169"/>
      <c r="M762" s="169"/>
      <c r="N762" s="169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</row>
    <row r="763" spans="1:26" ht="15" x14ac:dyDescent="0.2">
      <c r="A763" s="169"/>
      <c r="B763" s="169"/>
      <c r="C763" s="169"/>
      <c r="D763" s="169"/>
      <c r="E763" s="169"/>
      <c r="F763" s="169"/>
      <c r="G763" s="169"/>
      <c r="H763" s="169"/>
      <c r="I763" s="169"/>
      <c r="J763" s="169"/>
      <c r="K763" s="169"/>
      <c r="L763" s="169"/>
      <c r="M763" s="169"/>
      <c r="N763" s="169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</row>
    <row r="764" spans="1:26" ht="15" x14ac:dyDescent="0.2">
      <c r="A764" s="169"/>
      <c r="B764" s="169"/>
      <c r="C764" s="169"/>
      <c r="D764" s="169"/>
      <c r="E764" s="169"/>
      <c r="F764" s="169"/>
      <c r="G764" s="169"/>
      <c r="H764" s="169"/>
      <c r="I764" s="169"/>
      <c r="J764" s="169"/>
      <c r="K764" s="169"/>
      <c r="L764" s="169"/>
      <c r="M764" s="169"/>
      <c r="N764" s="169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</row>
    <row r="765" spans="1:26" ht="15" x14ac:dyDescent="0.2">
      <c r="A765" s="169"/>
      <c r="B765" s="169"/>
      <c r="C765" s="169"/>
      <c r="D765" s="169"/>
      <c r="E765" s="169"/>
      <c r="F765" s="169"/>
      <c r="G765" s="169"/>
      <c r="H765" s="169"/>
      <c r="I765" s="169"/>
      <c r="J765" s="169"/>
      <c r="K765" s="169"/>
      <c r="L765" s="169"/>
      <c r="M765" s="169"/>
      <c r="N765" s="169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</row>
    <row r="766" spans="1:26" ht="15" x14ac:dyDescent="0.2">
      <c r="A766" s="169"/>
      <c r="B766" s="169"/>
      <c r="C766" s="169"/>
      <c r="D766" s="169"/>
      <c r="E766" s="169"/>
      <c r="F766" s="169"/>
      <c r="G766" s="169"/>
      <c r="H766" s="169"/>
      <c r="I766" s="169"/>
      <c r="J766" s="169"/>
      <c r="K766" s="169"/>
      <c r="L766" s="169"/>
      <c r="M766" s="169"/>
      <c r="N766" s="169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</row>
    <row r="767" spans="1:26" ht="15" x14ac:dyDescent="0.2">
      <c r="A767" s="169"/>
      <c r="B767" s="169"/>
      <c r="C767" s="169"/>
      <c r="D767" s="169"/>
      <c r="E767" s="169"/>
      <c r="F767" s="169"/>
      <c r="G767" s="169"/>
      <c r="H767" s="169"/>
      <c r="I767" s="169"/>
      <c r="J767" s="169"/>
      <c r="K767" s="169"/>
      <c r="L767" s="169"/>
      <c r="M767" s="169"/>
      <c r="N767" s="169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</row>
    <row r="768" spans="1:26" ht="15" x14ac:dyDescent="0.2">
      <c r="A768" s="169"/>
      <c r="B768" s="169"/>
      <c r="C768" s="169"/>
      <c r="D768" s="169"/>
      <c r="E768" s="169"/>
      <c r="F768" s="169"/>
      <c r="G768" s="169"/>
      <c r="H768" s="169"/>
      <c r="I768" s="169"/>
      <c r="J768" s="169"/>
      <c r="K768" s="169"/>
      <c r="L768" s="169"/>
      <c r="M768" s="169"/>
      <c r="N768" s="169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</row>
    <row r="769" spans="1:26" ht="15" x14ac:dyDescent="0.2">
      <c r="A769" s="169"/>
      <c r="B769" s="169"/>
      <c r="C769" s="169"/>
      <c r="D769" s="169"/>
      <c r="E769" s="169"/>
      <c r="F769" s="169"/>
      <c r="G769" s="169"/>
      <c r="H769" s="169"/>
      <c r="I769" s="169"/>
      <c r="J769" s="169"/>
      <c r="K769" s="169"/>
      <c r="L769" s="169"/>
      <c r="M769" s="169"/>
      <c r="N769" s="169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</row>
    <row r="770" spans="1:26" ht="15" x14ac:dyDescent="0.2">
      <c r="A770" s="169"/>
      <c r="B770" s="169"/>
      <c r="C770" s="169"/>
      <c r="D770" s="169"/>
      <c r="E770" s="169"/>
      <c r="F770" s="169"/>
      <c r="G770" s="169"/>
      <c r="H770" s="169"/>
      <c r="I770" s="169"/>
      <c r="J770" s="169"/>
      <c r="K770" s="169"/>
      <c r="L770" s="169"/>
      <c r="M770" s="169"/>
      <c r="N770" s="169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</row>
    <row r="771" spans="1:26" ht="15" x14ac:dyDescent="0.2">
      <c r="A771" s="169"/>
      <c r="B771" s="169"/>
      <c r="C771" s="169"/>
      <c r="D771" s="169"/>
      <c r="E771" s="169"/>
      <c r="F771" s="169"/>
      <c r="G771" s="169"/>
      <c r="H771" s="169"/>
      <c r="I771" s="169"/>
      <c r="J771" s="169"/>
      <c r="K771" s="169"/>
      <c r="L771" s="169"/>
      <c r="M771" s="169"/>
      <c r="N771" s="169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</row>
    <row r="772" spans="1:26" ht="15" x14ac:dyDescent="0.2">
      <c r="A772" s="169"/>
      <c r="B772" s="169"/>
      <c r="C772" s="169"/>
      <c r="D772" s="169"/>
      <c r="E772" s="169"/>
      <c r="F772" s="169"/>
      <c r="G772" s="169"/>
      <c r="H772" s="169"/>
      <c r="I772" s="169"/>
      <c r="J772" s="169"/>
      <c r="K772" s="169"/>
      <c r="L772" s="169"/>
      <c r="M772" s="169"/>
      <c r="N772" s="169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</row>
    <row r="773" spans="1:26" ht="15" x14ac:dyDescent="0.2">
      <c r="A773" s="169"/>
      <c r="B773" s="169"/>
      <c r="C773" s="169"/>
      <c r="D773" s="169"/>
      <c r="E773" s="169"/>
      <c r="F773" s="169"/>
      <c r="G773" s="169"/>
      <c r="H773" s="169"/>
      <c r="I773" s="169"/>
      <c r="J773" s="169"/>
      <c r="K773" s="169"/>
      <c r="L773" s="169"/>
      <c r="M773" s="169"/>
      <c r="N773" s="169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</row>
    <row r="774" spans="1:26" ht="15" x14ac:dyDescent="0.2">
      <c r="A774" s="169"/>
      <c r="B774" s="169"/>
      <c r="C774" s="169"/>
      <c r="D774" s="169"/>
      <c r="E774" s="169"/>
      <c r="F774" s="169"/>
      <c r="G774" s="169"/>
      <c r="H774" s="169"/>
      <c r="I774" s="169"/>
      <c r="J774" s="169"/>
      <c r="K774" s="169"/>
      <c r="L774" s="169"/>
      <c r="M774" s="169"/>
      <c r="N774" s="169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</row>
    <row r="775" spans="1:26" ht="15" x14ac:dyDescent="0.2">
      <c r="A775" s="169"/>
      <c r="B775" s="169"/>
      <c r="C775" s="169"/>
      <c r="D775" s="169"/>
      <c r="E775" s="169"/>
      <c r="F775" s="169"/>
      <c r="G775" s="169"/>
      <c r="H775" s="169"/>
      <c r="I775" s="169"/>
      <c r="J775" s="169"/>
      <c r="K775" s="169"/>
      <c r="L775" s="169"/>
      <c r="M775" s="169"/>
      <c r="N775" s="169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</row>
    <row r="776" spans="1:26" ht="15" x14ac:dyDescent="0.2">
      <c r="A776" s="169"/>
      <c r="B776" s="169"/>
      <c r="C776" s="169"/>
      <c r="D776" s="169"/>
      <c r="E776" s="169"/>
      <c r="F776" s="169"/>
      <c r="G776" s="169"/>
      <c r="H776" s="169"/>
      <c r="I776" s="169"/>
      <c r="J776" s="169"/>
      <c r="K776" s="169"/>
      <c r="L776" s="169"/>
      <c r="M776" s="169"/>
      <c r="N776" s="169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</row>
    <row r="777" spans="1:26" ht="15" x14ac:dyDescent="0.2">
      <c r="A777" s="169"/>
      <c r="B777" s="169"/>
      <c r="C777" s="169"/>
      <c r="D777" s="169"/>
      <c r="E777" s="169"/>
      <c r="F777" s="169"/>
      <c r="G777" s="169"/>
      <c r="H777" s="169"/>
      <c r="I777" s="169"/>
      <c r="J777" s="169"/>
      <c r="K777" s="169"/>
      <c r="L777" s="169"/>
      <c r="M777" s="169"/>
      <c r="N777" s="169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</row>
    <row r="778" spans="1:26" ht="15" x14ac:dyDescent="0.2">
      <c r="A778" s="169"/>
      <c r="B778" s="169"/>
      <c r="C778" s="169"/>
      <c r="D778" s="169"/>
      <c r="E778" s="169"/>
      <c r="F778" s="169"/>
      <c r="G778" s="169"/>
      <c r="H778" s="169"/>
      <c r="I778" s="169"/>
      <c r="J778" s="169"/>
      <c r="K778" s="169"/>
      <c r="L778" s="169"/>
      <c r="M778" s="169"/>
      <c r="N778" s="169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</row>
    <row r="779" spans="1:26" ht="15" x14ac:dyDescent="0.2">
      <c r="A779" s="169"/>
      <c r="B779" s="169"/>
      <c r="C779" s="169"/>
      <c r="D779" s="169"/>
      <c r="E779" s="169"/>
      <c r="F779" s="169"/>
      <c r="G779" s="169"/>
      <c r="H779" s="169"/>
      <c r="I779" s="169"/>
      <c r="J779" s="169"/>
      <c r="K779" s="169"/>
      <c r="L779" s="169"/>
      <c r="M779" s="169"/>
      <c r="N779" s="169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</row>
    <row r="780" spans="1:26" ht="15" x14ac:dyDescent="0.2">
      <c r="A780" s="169"/>
      <c r="B780" s="169"/>
      <c r="C780" s="169"/>
      <c r="D780" s="169"/>
      <c r="E780" s="169"/>
      <c r="F780" s="169"/>
      <c r="G780" s="169"/>
      <c r="H780" s="169"/>
      <c r="I780" s="169"/>
      <c r="J780" s="169"/>
      <c r="K780" s="169"/>
      <c r="L780" s="169"/>
      <c r="M780" s="169"/>
      <c r="N780" s="169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</row>
    <row r="781" spans="1:26" ht="15" x14ac:dyDescent="0.2">
      <c r="A781" s="169"/>
      <c r="B781" s="169"/>
      <c r="C781" s="169"/>
      <c r="D781" s="169"/>
      <c r="E781" s="169"/>
      <c r="F781" s="169"/>
      <c r="G781" s="169"/>
      <c r="H781" s="169"/>
      <c r="I781" s="169"/>
      <c r="J781" s="169"/>
      <c r="K781" s="169"/>
      <c r="L781" s="169"/>
      <c r="M781" s="169"/>
      <c r="N781" s="169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</row>
    <row r="782" spans="1:26" ht="15" x14ac:dyDescent="0.2">
      <c r="A782" s="169"/>
      <c r="B782" s="169"/>
      <c r="C782" s="169"/>
      <c r="D782" s="169"/>
      <c r="E782" s="169"/>
      <c r="F782" s="169"/>
      <c r="G782" s="169"/>
      <c r="H782" s="169"/>
      <c r="I782" s="169"/>
      <c r="J782" s="169"/>
      <c r="K782" s="169"/>
      <c r="L782" s="169"/>
      <c r="M782" s="169"/>
      <c r="N782" s="169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</row>
    <row r="783" spans="1:26" ht="15" x14ac:dyDescent="0.2">
      <c r="A783" s="169"/>
      <c r="B783" s="169"/>
      <c r="C783" s="169"/>
      <c r="D783" s="169"/>
      <c r="E783" s="169"/>
      <c r="F783" s="169"/>
      <c r="G783" s="169"/>
      <c r="H783" s="169"/>
      <c r="I783" s="169"/>
      <c r="J783" s="169"/>
      <c r="K783" s="169"/>
      <c r="L783" s="169"/>
      <c r="M783" s="169"/>
      <c r="N783" s="169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</row>
    <row r="784" spans="1:26" ht="15" x14ac:dyDescent="0.2">
      <c r="A784" s="169"/>
      <c r="B784" s="169"/>
      <c r="C784" s="169"/>
      <c r="D784" s="169"/>
      <c r="E784" s="169"/>
      <c r="F784" s="169"/>
      <c r="G784" s="169"/>
      <c r="H784" s="169"/>
      <c r="I784" s="169"/>
      <c r="J784" s="169"/>
      <c r="K784" s="169"/>
      <c r="L784" s="169"/>
      <c r="M784" s="169"/>
      <c r="N784" s="169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</row>
    <row r="785" spans="1:26" ht="15" x14ac:dyDescent="0.2">
      <c r="A785" s="169"/>
      <c r="B785" s="169"/>
      <c r="C785" s="169"/>
      <c r="D785" s="169"/>
      <c r="E785" s="169"/>
      <c r="F785" s="169"/>
      <c r="G785" s="169"/>
      <c r="H785" s="169"/>
      <c r="I785" s="169"/>
      <c r="J785" s="169"/>
      <c r="K785" s="169"/>
      <c r="L785" s="169"/>
      <c r="M785" s="169"/>
      <c r="N785" s="169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</row>
    <row r="786" spans="1:26" ht="15" x14ac:dyDescent="0.2">
      <c r="A786" s="169"/>
      <c r="B786" s="169"/>
      <c r="C786" s="169"/>
      <c r="D786" s="169"/>
      <c r="E786" s="169"/>
      <c r="F786" s="169"/>
      <c r="G786" s="169"/>
      <c r="H786" s="169"/>
      <c r="I786" s="169"/>
      <c r="J786" s="169"/>
      <c r="K786" s="169"/>
      <c r="L786" s="169"/>
      <c r="M786" s="169"/>
      <c r="N786" s="169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</row>
    <row r="787" spans="1:26" ht="15" x14ac:dyDescent="0.2">
      <c r="A787" s="169"/>
      <c r="B787" s="169"/>
      <c r="C787" s="169"/>
      <c r="D787" s="169"/>
      <c r="E787" s="169"/>
      <c r="F787" s="169"/>
      <c r="G787" s="169"/>
      <c r="H787" s="169"/>
      <c r="I787" s="169"/>
      <c r="J787" s="169"/>
      <c r="K787" s="169"/>
      <c r="L787" s="169"/>
      <c r="M787" s="169"/>
      <c r="N787" s="169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</row>
    <row r="788" spans="1:26" ht="15" x14ac:dyDescent="0.2">
      <c r="A788" s="169"/>
      <c r="B788" s="169"/>
      <c r="C788" s="169"/>
      <c r="D788" s="169"/>
      <c r="E788" s="169"/>
      <c r="F788" s="169"/>
      <c r="G788" s="169"/>
      <c r="H788" s="169"/>
      <c r="I788" s="169"/>
      <c r="J788" s="169"/>
      <c r="K788" s="169"/>
      <c r="L788" s="169"/>
      <c r="M788" s="169"/>
      <c r="N788" s="169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</row>
    <row r="789" spans="1:26" ht="15" x14ac:dyDescent="0.2">
      <c r="A789" s="169"/>
      <c r="B789" s="169"/>
      <c r="C789" s="169"/>
      <c r="D789" s="169"/>
      <c r="E789" s="169"/>
      <c r="F789" s="169"/>
      <c r="G789" s="169"/>
      <c r="H789" s="169"/>
      <c r="I789" s="169"/>
      <c r="J789" s="169"/>
      <c r="K789" s="169"/>
      <c r="L789" s="169"/>
      <c r="M789" s="169"/>
      <c r="N789" s="169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</row>
    <row r="790" spans="1:26" ht="15" x14ac:dyDescent="0.2">
      <c r="A790" s="169"/>
      <c r="B790" s="169"/>
      <c r="C790" s="169"/>
      <c r="D790" s="169"/>
      <c r="E790" s="169"/>
      <c r="F790" s="169"/>
      <c r="G790" s="169"/>
      <c r="H790" s="169"/>
      <c r="I790" s="169"/>
      <c r="J790" s="169"/>
      <c r="K790" s="169"/>
      <c r="L790" s="169"/>
      <c r="M790" s="169"/>
      <c r="N790" s="169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</row>
    <row r="791" spans="1:26" ht="15" x14ac:dyDescent="0.2">
      <c r="A791" s="169"/>
      <c r="B791" s="169"/>
      <c r="C791" s="169"/>
      <c r="D791" s="169"/>
      <c r="E791" s="169"/>
      <c r="F791" s="169"/>
      <c r="G791" s="169"/>
      <c r="H791" s="169"/>
      <c r="I791" s="169"/>
      <c r="J791" s="169"/>
      <c r="K791" s="169"/>
      <c r="L791" s="169"/>
      <c r="M791" s="169"/>
      <c r="N791" s="169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</row>
    <row r="792" spans="1:26" ht="15" x14ac:dyDescent="0.2">
      <c r="A792" s="169"/>
      <c r="B792" s="169"/>
      <c r="C792" s="169"/>
      <c r="D792" s="169"/>
      <c r="E792" s="169"/>
      <c r="F792" s="169"/>
      <c r="G792" s="169"/>
      <c r="H792" s="169"/>
      <c r="I792" s="169"/>
      <c r="J792" s="169"/>
      <c r="K792" s="169"/>
      <c r="L792" s="169"/>
      <c r="M792" s="169"/>
      <c r="N792" s="169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</row>
    <row r="793" spans="1:26" ht="15" x14ac:dyDescent="0.2">
      <c r="A793" s="169"/>
      <c r="B793" s="169"/>
      <c r="C793" s="169"/>
      <c r="D793" s="169"/>
      <c r="E793" s="169"/>
      <c r="F793" s="169"/>
      <c r="G793" s="169"/>
      <c r="H793" s="169"/>
      <c r="I793" s="169"/>
      <c r="J793" s="169"/>
      <c r="K793" s="169"/>
      <c r="L793" s="169"/>
      <c r="M793" s="169"/>
      <c r="N793" s="169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</row>
    <row r="794" spans="1:26" ht="15" x14ac:dyDescent="0.2">
      <c r="A794" s="169"/>
      <c r="B794" s="169"/>
      <c r="C794" s="169"/>
      <c r="D794" s="169"/>
      <c r="E794" s="169"/>
      <c r="F794" s="169"/>
      <c r="G794" s="169"/>
      <c r="H794" s="169"/>
      <c r="I794" s="169"/>
      <c r="J794" s="169"/>
      <c r="K794" s="169"/>
      <c r="L794" s="169"/>
      <c r="M794" s="169"/>
      <c r="N794" s="169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</row>
    <row r="795" spans="1:26" ht="15" x14ac:dyDescent="0.2">
      <c r="A795" s="169"/>
      <c r="B795" s="169"/>
      <c r="C795" s="169"/>
      <c r="D795" s="169"/>
      <c r="E795" s="169"/>
      <c r="F795" s="169"/>
      <c r="G795" s="169"/>
      <c r="H795" s="169"/>
      <c r="I795" s="169"/>
      <c r="J795" s="169"/>
      <c r="K795" s="169"/>
      <c r="L795" s="169"/>
      <c r="M795" s="169"/>
      <c r="N795" s="169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</row>
    <row r="796" spans="1:26" ht="15" x14ac:dyDescent="0.2">
      <c r="A796" s="169"/>
      <c r="B796" s="169"/>
      <c r="C796" s="169"/>
      <c r="D796" s="169"/>
      <c r="E796" s="169"/>
      <c r="F796" s="169"/>
      <c r="G796" s="169"/>
      <c r="H796" s="169"/>
      <c r="I796" s="169"/>
      <c r="J796" s="169"/>
      <c r="K796" s="169"/>
      <c r="L796" s="169"/>
      <c r="M796" s="169"/>
      <c r="N796" s="169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</row>
    <row r="797" spans="1:26" ht="15" x14ac:dyDescent="0.2">
      <c r="A797" s="169"/>
      <c r="B797" s="169"/>
      <c r="C797" s="169"/>
      <c r="D797" s="169"/>
      <c r="E797" s="169"/>
      <c r="F797" s="169"/>
      <c r="G797" s="169"/>
      <c r="H797" s="169"/>
      <c r="I797" s="169"/>
      <c r="J797" s="169"/>
      <c r="K797" s="169"/>
      <c r="L797" s="169"/>
      <c r="M797" s="169"/>
      <c r="N797" s="169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</row>
    <row r="798" spans="1:26" ht="15" x14ac:dyDescent="0.2">
      <c r="A798" s="169"/>
      <c r="B798" s="169"/>
      <c r="C798" s="169"/>
      <c r="D798" s="169"/>
      <c r="E798" s="169"/>
      <c r="F798" s="169"/>
      <c r="G798" s="169"/>
      <c r="H798" s="169"/>
      <c r="I798" s="169"/>
      <c r="J798" s="169"/>
      <c r="K798" s="169"/>
      <c r="L798" s="169"/>
      <c r="M798" s="169"/>
      <c r="N798" s="169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</row>
    <row r="799" spans="1:26" ht="15" x14ac:dyDescent="0.2">
      <c r="A799" s="169"/>
      <c r="B799" s="169"/>
      <c r="C799" s="169"/>
      <c r="D799" s="169"/>
      <c r="E799" s="169"/>
      <c r="F799" s="169"/>
      <c r="G799" s="169"/>
      <c r="H799" s="169"/>
      <c r="I799" s="169"/>
      <c r="J799" s="169"/>
      <c r="K799" s="169"/>
      <c r="L799" s="169"/>
      <c r="M799" s="169"/>
      <c r="N799" s="169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</row>
    <row r="800" spans="1:26" ht="15" x14ac:dyDescent="0.2">
      <c r="A800" s="169"/>
      <c r="B800" s="169"/>
      <c r="C800" s="169"/>
      <c r="D800" s="169"/>
      <c r="E800" s="169"/>
      <c r="F800" s="169"/>
      <c r="G800" s="169"/>
      <c r="H800" s="169"/>
      <c r="I800" s="169"/>
      <c r="J800" s="169"/>
      <c r="K800" s="169"/>
      <c r="L800" s="169"/>
      <c r="M800" s="169"/>
      <c r="N800" s="169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</row>
    <row r="801" spans="1:26" ht="15" x14ac:dyDescent="0.2">
      <c r="A801" s="169"/>
      <c r="B801" s="169"/>
      <c r="C801" s="169"/>
      <c r="D801" s="169"/>
      <c r="E801" s="169"/>
      <c r="F801" s="169"/>
      <c r="G801" s="169"/>
      <c r="H801" s="169"/>
      <c r="I801" s="169"/>
      <c r="J801" s="169"/>
      <c r="K801" s="169"/>
      <c r="L801" s="169"/>
      <c r="M801" s="169"/>
      <c r="N801" s="169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</row>
    <row r="802" spans="1:26" ht="15" x14ac:dyDescent="0.2">
      <c r="A802" s="169"/>
      <c r="B802" s="169"/>
      <c r="C802" s="169"/>
      <c r="D802" s="169"/>
      <c r="E802" s="169"/>
      <c r="F802" s="169"/>
      <c r="G802" s="169"/>
      <c r="H802" s="169"/>
      <c r="I802" s="169"/>
      <c r="J802" s="169"/>
      <c r="K802" s="169"/>
      <c r="L802" s="169"/>
      <c r="M802" s="169"/>
      <c r="N802" s="169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</row>
    <row r="803" spans="1:26" ht="15" x14ac:dyDescent="0.2">
      <c r="A803" s="169"/>
      <c r="B803" s="169"/>
      <c r="C803" s="169"/>
      <c r="D803" s="169"/>
      <c r="E803" s="169"/>
      <c r="F803" s="169"/>
      <c r="G803" s="169"/>
      <c r="H803" s="169"/>
      <c r="I803" s="169"/>
      <c r="J803" s="169"/>
      <c r="K803" s="169"/>
      <c r="L803" s="169"/>
      <c r="M803" s="169"/>
      <c r="N803" s="169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</row>
    <row r="804" spans="1:26" ht="15" x14ac:dyDescent="0.2">
      <c r="A804" s="169"/>
      <c r="B804" s="169"/>
      <c r="C804" s="169"/>
      <c r="D804" s="169"/>
      <c r="E804" s="169"/>
      <c r="F804" s="169"/>
      <c r="G804" s="169"/>
      <c r="H804" s="169"/>
      <c r="I804" s="169"/>
      <c r="J804" s="169"/>
      <c r="K804" s="169"/>
      <c r="L804" s="169"/>
      <c r="M804" s="169"/>
      <c r="N804" s="169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</row>
    <row r="805" spans="1:26" ht="15" x14ac:dyDescent="0.2">
      <c r="A805" s="169"/>
      <c r="B805" s="169"/>
      <c r="C805" s="169"/>
      <c r="D805" s="169"/>
      <c r="E805" s="169"/>
      <c r="F805" s="169"/>
      <c r="G805" s="169"/>
      <c r="H805" s="169"/>
      <c r="I805" s="169"/>
      <c r="J805" s="169"/>
      <c r="K805" s="169"/>
      <c r="L805" s="169"/>
      <c r="M805" s="169"/>
      <c r="N805" s="169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</row>
    <row r="806" spans="1:26" ht="15" x14ac:dyDescent="0.2">
      <c r="A806" s="169"/>
      <c r="B806" s="169"/>
      <c r="C806" s="169"/>
      <c r="D806" s="169"/>
      <c r="E806" s="169"/>
      <c r="F806" s="169"/>
      <c r="G806" s="169"/>
      <c r="H806" s="169"/>
      <c r="I806" s="169"/>
      <c r="J806" s="169"/>
      <c r="K806" s="169"/>
      <c r="L806" s="169"/>
      <c r="M806" s="169"/>
      <c r="N806" s="169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</row>
    <row r="807" spans="1:26" ht="15" x14ac:dyDescent="0.2">
      <c r="A807" s="169"/>
      <c r="B807" s="169"/>
      <c r="C807" s="169"/>
      <c r="D807" s="169"/>
      <c r="E807" s="169"/>
      <c r="F807" s="169"/>
      <c r="G807" s="169"/>
      <c r="H807" s="169"/>
      <c r="I807" s="169"/>
      <c r="J807" s="169"/>
      <c r="K807" s="169"/>
      <c r="L807" s="169"/>
      <c r="M807" s="169"/>
      <c r="N807" s="169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</row>
    <row r="808" spans="1:26" ht="15" x14ac:dyDescent="0.2">
      <c r="A808" s="169"/>
      <c r="B808" s="169"/>
      <c r="C808" s="169"/>
      <c r="D808" s="169"/>
      <c r="E808" s="169"/>
      <c r="F808" s="169"/>
      <c r="G808" s="169"/>
      <c r="H808" s="169"/>
      <c r="I808" s="169"/>
      <c r="J808" s="169"/>
      <c r="K808" s="169"/>
      <c r="L808" s="169"/>
      <c r="M808" s="169"/>
      <c r="N808" s="169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</row>
    <row r="809" spans="1:26" ht="15" x14ac:dyDescent="0.2">
      <c r="A809" s="169"/>
      <c r="B809" s="169"/>
      <c r="C809" s="169"/>
      <c r="D809" s="169"/>
      <c r="E809" s="169"/>
      <c r="F809" s="169"/>
      <c r="G809" s="169"/>
      <c r="H809" s="169"/>
      <c r="I809" s="169"/>
      <c r="J809" s="169"/>
      <c r="K809" s="169"/>
      <c r="L809" s="169"/>
      <c r="M809" s="169"/>
      <c r="N809" s="169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</row>
    <row r="810" spans="1:26" ht="15" x14ac:dyDescent="0.2">
      <c r="A810" s="169"/>
      <c r="B810" s="169"/>
      <c r="C810" s="169"/>
      <c r="D810" s="169"/>
      <c r="E810" s="169"/>
      <c r="F810" s="169"/>
      <c r="G810" s="169"/>
      <c r="H810" s="169"/>
      <c r="I810" s="169"/>
      <c r="J810" s="169"/>
      <c r="K810" s="169"/>
      <c r="L810" s="169"/>
      <c r="M810" s="169"/>
      <c r="N810" s="169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</row>
    <row r="811" spans="1:26" ht="15" x14ac:dyDescent="0.2">
      <c r="A811" s="169"/>
      <c r="B811" s="169"/>
      <c r="C811" s="169"/>
      <c r="D811" s="169"/>
      <c r="E811" s="169"/>
      <c r="F811" s="169"/>
      <c r="G811" s="169"/>
      <c r="H811" s="169"/>
      <c r="I811" s="169"/>
      <c r="J811" s="169"/>
      <c r="K811" s="169"/>
      <c r="L811" s="169"/>
      <c r="M811" s="169"/>
      <c r="N811" s="169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</row>
    <row r="812" spans="1:26" ht="15" x14ac:dyDescent="0.2">
      <c r="A812" s="169"/>
      <c r="B812" s="169"/>
      <c r="C812" s="169"/>
      <c r="D812" s="169"/>
      <c r="E812" s="169"/>
      <c r="F812" s="169"/>
      <c r="G812" s="169"/>
      <c r="H812" s="169"/>
      <c r="I812" s="169"/>
      <c r="J812" s="169"/>
      <c r="K812" s="169"/>
      <c r="L812" s="169"/>
      <c r="M812" s="169"/>
      <c r="N812" s="169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</row>
    <row r="813" spans="1:26" ht="15" x14ac:dyDescent="0.2">
      <c r="A813" s="169"/>
      <c r="B813" s="169"/>
      <c r="C813" s="169"/>
      <c r="D813" s="169"/>
      <c r="E813" s="169"/>
      <c r="F813" s="169"/>
      <c r="G813" s="169"/>
      <c r="H813" s="169"/>
      <c r="I813" s="169"/>
      <c r="J813" s="169"/>
      <c r="K813" s="169"/>
      <c r="L813" s="169"/>
      <c r="M813" s="169"/>
      <c r="N813" s="169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</row>
    <row r="814" spans="1:26" ht="15" x14ac:dyDescent="0.2">
      <c r="A814" s="169"/>
      <c r="B814" s="169"/>
      <c r="C814" s="169"/>
      <c r="D814" s="169"/>
      <c r="E814" s="169"/>
      <c r="F814" s="169"/>
      <c r="G814" s="169"/>
      <c r="H814" s="169"/>
      <c r="I814" s="169"/>
      <c r="J814" s="169"/>
      <c r="K814" s="169"/>
      <c r="L814" s="169"/>
      <c r="M814" s="169"/>
      <c r="N814" s="169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</row>
    <row r="815" spans="1:26" ht="15" x14ac:dyDescent="0.2">
      <c r="A815" s="169"/>
      <c r="B815" s="169"/>
      <c r="C815" s="169"/>
      <c r="D815" s="169"/>
      <c r="E815" s="169"/>
      <c r="F815" s="169"/>
      <c r="G815" s="169"/>
      <c r="H815" s="169"/>
      <c r="I815" s="169"/>
      <c r="J815" s="169"/>
      <c r="K815" s="169"/>
      <c r="L815" s="169"/>
      <c r="M815" s="169"/>
      <c r="N815" s="169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</row>
    <row r="816" spans="1:26" ht="15" x14ac:dyDescent="0.2">
      <c r="A816" s="169"/>
      <c r="B816" s="169"/>
      <c r="C816" s="169"/>
      <c r="D816" s="169"/>
      <c r="E816" s="169"/>
      <c r="F816" s="169"/>
      <c r="G816" s="169"/>
      <c r="H816" s="169"/>
      <c r="I816" s="169"/>
      <c r="J816" s="169"/>
      <c r="K816" s="169"/>
      <c r="L816" s="169"/>
      <c r="M816" s="169"/>
      <c r="N816" s="169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</row>
    <row r="817" spans="1:26" ht="15" x14ac:dyDescent="0.2">
      <c r="A817" s="169"/>
      <c r="B817" s="169"/>
      <c r="C817" s="169"/>
      <c r="D817" s="169"/>
      <c r="E817" s="169"/>
      <c r="F817" s="169"/>
      <c r="G817" s="169"/>
      <c r="H817" s="169"/>
      <c r="I817" s="169"/>
      <c r="J817" s="169"/>
      <c r="K817" s="169"/>
      <c r="L817" s="169"/>
      <c r="M817" s="169"/>
      <c r="N817" s="169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</row>
    <row r="818" spans="1:26" ht="15" x14ac:dyDescent="0.2">
      <c r="A818" s="169"/>
      <c r="B818" s="169"/>
      <c r="C818" s="169"/>
      <c r="D818" s="169"/>
      <c r="E818" s="169"/>
      <c r="F818" s="169"/>
      <c r="G818" s="169"/>
      <c r="H818" s="169"/>
      <c r="I818" s="169"/>
      <c r="J818" s="169"/>
      <c r="K818" s="169"/>
      <c r="L818" s="169"/>
      <c r="M818" s="169"/>
      <c r="N818" s="169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</row>
    <row r="819" spans="1:26" ht="15" x14ac:dyDescent="0.2">
      <c r="A819" s="169"/>
      <c r="B819" s="169"/>
      <c r="C819" s="169"/>
      <c r="D819" s="169"/>
      <c r="E819" s="169"/>
      <c r="F819" s="169"/>
      <c r="G819" s="169"/>
      <c r="H819" s="169"/>
      <c r="I819" s="169"/>
      <c r="J819" s="169"/>
      <c r="K819" s="169"/>
      <c r="L819" s="169"/>
      <c r="M819" s="169"/>
      <c r="N819" s="169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</row>
    <row r="820" spans="1:26" ht="15" x14ac:dyDescent="0.2">
      <c r="A820" s="169"/>
      <c r="B820" s="169"/>
      <c r="C820" s="169"/>
      <c r="D820" s="169"/>
      <c r="E820" s="169"/>
      <c r="F820" s="169"/>
      <c r="G820" s="169"/>
      <c r="H820" s="169"/>
      <c r="I820" s="169"/>
      <c r="J820" s="169"/>
      <c r="K820" s="169"/>
      <c r="L820" s="169"/>
      <c r="M820" s="169"/>
      <c r="N820" s="169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</row>
    <row r="821" spans="1:26" ht="15" x14ac:dyDescent="0.2">
      <c r="A821" s="169"/>
      <c r="B821" s="169"/>
      <c r="C821" s="169"/>
      <c r="D821" s="169"/>
      <c r="E821" s="169"/>
      <c r="F821" s="169"/>
      <c r="G821" s="169"/>
      <c r="H821" s="169"/>
      <c r="I821" s="169"/>
      <c r="J821" s="169"/>
      <c r="K821" s="169"/>
      <c r="L821" s="169"/>
      <c r="M821" s="169"/>
      <c r="N821" s="169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</row>
    <row r="822" spans="1:26" ht="15" x14ac:dyDescent="0.2">
      <c r="A822" s="169"/>
      <c r="B822" s="169"/>
      <c r="C822" s="169"/>
      <c r="D822" s="169"/>
      <c r="E822" s="169"/>
      <c r="F822" s="169"/>
      <c r="G822" s="169"/>
      <c r="H822" s="169"/>
      <c r="I822" s="169"/>
      <c r="J822" s="169"/>
      <c r="K822" s="169"/>
      <c r="L822" s="169"/>
      <c r="M822" s="169"/>
      <c r="N822" s="169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</row>
    <row r="823" spans="1:26" ht="15" x14ac:dyDescent="0.2">
      <c r="A823" s="169"/>
      <c r="B823" s="169"/>
      <c r="C823" s="169"/>
      <c r="D823" s="169"/>
      <c r="E823" s="169"/>
      <c r="F823" s="169"/>
      <c r="G823" s="169"/>
      <c r="H823" s="169"/>
      <c r="I823" s="169"/>
      <c r="J823" s="169"/>
      <c r="K823" s="169"/>
      <c r="L823" s="169"/>
      <c r="M823" s="169"/>
      <c r="N823" s="169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</row>
    <row r="824" spans="1:26" ht="15" x14ac:dyDescent="0.2">
      <c r="A824" s="169"/>
      <c r="B824" s="169"/>
      <c r="C824" s="169"/>
      <c r="D824" s="169"/>
      <c r="E824" s="169"/>
      <c r="F824" s="169"/>
      <c r="G824" s="169"/>
      <c r="H824" s="169"/>
      <c r="I824" s="169"/>
      <c r="J824" s="169"/>
      <c r="K824" s="169"/>
      <c r="L824" s="169"/>
      <c r="M824" s="169"/>
      <c r="N824" s="169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</row>
    <row r="825" spans="1:26" ht="15" x14ac:dyDescent="0.2">
      <c r="A825" s="169"/>
      <c r="B825" s="169"/>
      <c r="C825" s="169"/>
      <c r="D825" s="169"/>
      <c r="E825" s="169"/>
      <c r="F825" s="169"/>
      <c r="G825" s="169"/>
      <c r="H825" s="169"/>
      <c r="I825" s="169"/>
      <c r="J825" s="169"/>
      <c r="K825" s="169"/>
      <c r="L825" s="169"/>
      <c r="M825" s="169"/>
      <c r="N825" s="169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</row>
    <row r="826" spans="1:26" ht="15" x14ac:dyDescent="0.2">
      <c r="A826" s="169"/>
      <c r="B826" s="169"/>
      <c r="C826" s="169"/>
      <c r="D826" s="169"/>
      <c r="E826" s="169"/>
      <c r="F826" s="169"/>
      <c r="G826" s="169"/>
      <c r="H826" s="169"/>
      <c r="I826" s="169"/>
      <c r="J826" s="169"/>
      <c r="K826" s="169"/>
      <c r="L826" s="169"/>
      <c r="M826" s="169"/>
      <c r="N826" s="169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</row>
    <row r="827" spans="1:26" ht="15" x14ac:dyDescent="0.2">
      <c r="A827" s="169"/>
      <c r="B827" s="169"/>
      <c r="C827" s="169"/>
      <c r="D827" s="169"/>
      <c r="E827" s="169"/>
      <c r="F827" s="169"/>
      <c r="G827" s="169"/>
      <c r="H827" s="169"/>
      <c r="I827" s="169"/>
      <c r="J827" s="169"/>
      <c r="K827" s="169"/>
      <c r="L827" s="169"/>
      <c r="M827" s="169"/>
      <c r="N827" s="169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</row>
    <row r="828" spans="1:26" ht="15" x14ac:dyDescent="0.2">
      <c r="A828" s="169"/>
      <c r="B828" s="169"/>
      <c r="C828" s="169"/>
      <c r="D828" s="169"/>
      <c r="E828" s="169"/>
      <c r="F828" s="169"/>
      <c r="G828" s="169"/>
      <c r="H828" s="169"/>
      <c r="I828" s="169"/>
      <c r="J828" s="169"/>
      <c r="K828" s="169"/>
      <c r="L828" s="169"/>
      <c r="M828" s="169"/>
      <c r="N828" s="169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</row>
    <row r="829" spans="1:26" ht="15" x14ac:dyDescent="0.2">
      <c r="A829" s="169"/>
      <c r="B829" s="169"/>
      <c r="C829" s="169"/>
      <c r="D829" s="169"/>
      <c r="E829" s="169"/>
      <c r="F829" s="169"/>
      <c r="G829" s="169"/>
      <c r="H829" s="169"/>
      <c r="I829" s="169"/>
      <c r="J829" s="169"/>
      <c r="K829" s="169"/>
      <c r="L829" s="169"/>
      <c r="M829" s="169"/>
      <c r="N829" s="169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</row>
    <row r="830" spans="1:26" ht="15" x14ac:dyDescent="0.2">
      <c r="A830" s="169"/>
      <c r="B830" s="169"/>
      <c r="C830" s="169"/>
      <c r="D830" s="169"/>
      <c r="E830" s="169"/>
      <c r="F830" s="169"/>
      <c r="G830" s="169"/>
      <c r="H830" s="169"/>
      <c r="I830" s="169"/>
      <c r="J830" s="169"/>
      <c r="K830" s="169"/>
      <c r="L830" s="169"/>
      <c r="M830" s="169"/>
      <c r="N830" s="169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</row>
    <row r="831" spans="1:26" ht="15" x14ac:dyDescent="0.2">
      <c r="A831" s="169"/>
      <c r="B831" s="169"/>
      <c r="C831" s="169"/>
      <c r="D831" s="169"/>
      <c r="E831" s="169"/>
      <c r="F831" s="169"/>
      <c r="G831" s="169"/>
      <c r="H831" s="169"/>
      <c r="I831" s="169"/>
      <c r="J831" s="169"/>
      <c r="K831" s="169"/>
      <c r="L831" s="169"/>
      <c r="M831" s="169"/>
      <c r="N831" s="169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</row>
    <row r="832" spans="1:26" ht="15" x14ac:dyDescent="0.2">
      <c r="A832" s="169"/>
      <c r="B832" s="169"/>
      <c r="C832" s="169"/>
      <c r="D832" s="169"/>
      <c r="E832" s="169"/>
      <c r="F832" s="169"/>
      <c r="G832" s="169"/>
      <c r="H832" s="169"/>
      <c r="I832" s="169"/>
      <c r="J832" s="169"/>
      <c r="K832" s="169"/>
      <c r="L832" s="169"/>
      <c r="M832" s="169"/>
      <c r="N832" s="169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</row>
    <row r="833" spans="1:26" ht="15" x14ac:dyDescent="0.2">
      <c r="A833" s="169"/>
      <c r="B833" s="169"/>
      <c r="C833" s="169"/>
      <c r="D833" s="169"/>
      <c r="E833" s="169"/>
      <c r="F833" s="169"/>
      <c r="G833" s="169"/>
      <c r="H833" s="169"/>
      <c r="I833" s="169"/>
      <c r="J833" s="169"/>
      <c r="K833" s="169"/>
      <c r="L833" s="169"/>
      <c r="M833" s="169"/>
      <c r="N833" s="169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</row>
    <row r="834" spans="1:26" ht="15" x14ac:dyDescent="0.2">
      <c r="A834" s="169"/>
      <c r="B834" s="169"/>
      <c r="C834" s="169"/>
      <c r="D834" s="169"/>
      <c r="E834" s="169"/>
      <c r="F834" s="169"/>
      <c r="G834" s="169"/>
      <c r="H834" s="169"/>
      <c r="I834" s="169"/>
      <c r="J834" s="169"/>
      <c r="K834" s="169"/>
      <c r="L834" s="169"/>
      <c r="M834" s="169"/>
      <c r="N834" s="169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</row>
    <row r="835" spans="1:26" ht="15" x14ac:dyDescent="0.2">
      <c r="A835" s="169"/>
      <c r="B835" s="169"/>
      <c r="C835" s="169"/>
      <c r="D835" s="169"/>
      <c r="E835" s="169"/>
      <c r="F835" s="169"/>
      <c r="G835" s="169"/>
      <c r="H835" s="169"/>
      <c r="I835" s="169"/>
      <c r="J835" s="169"/>
      <c r="K835" s="169"/>
      <c r="L835" s="169"/>
      <c r="M835" s="169"/>
      <c r="N835" s="169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</row>
    <row r="836" spans="1:26" ht="15" x14ac:dyDescent="0.2">
      <c r="A836" s="169"/>
      <c r="B836" s="169"/>
      <c r="C836" s="169"/>
      <c r="D836" s="169"/>
      <c r="E836" s="169"/>
      <c r="F836" s="169"/>
      <c r="G836" s="169"/>
      <c r="H836" s="169"/>
      <c r="I836" s="169"/>
      <c r="J836" s="169"/>
      <c r="K836" s="169"/>
      <c r="L836" s="169"/>
      <c r="M836" s="169"/>
      <c r="N836" s="169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</row>
    <row r="837" spans="1:26" ht="15" x14ac:dyDescent="0.2">
      <c r="A837" s="169"/>
      <c r="B837" s="169"/>
      <c r="C837" s="169"/>
      <c r="D837" s="169"/>
      <c r="E837" s="169"/>
      <c r="F837" s="169"/>
      <c r="G837" s="169"/>
      <c r="H837" s="169"/>
      <c r="I837" s="169"/>
      <c r="J837" s="169"/>
      <c r="K837" s="169"/>
      <c r="L837" s="169"/>
      <c r="M837" s="169"/>
      <c r="N837" s="169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</row>
    <row r="838" spans="1:26" ht="15" x14ac:dyDescent="0.2">
      <c r="A838" s="169"/>
      <c r="B838" s="169"/>
      <c r="C838" s="169"/>
      <c r="D838" s="169"/>
      <c r="E838" s="169"/>
      <c r="F838" s="169"/>
      <c r="G838" s="169"/>
      <c r="H838" s="169"/>
      <c r="I838" s="169"/>
      <c r="J838" s="169"/>
      <c r="K838" s="169"/>
      <c r="L838" s="169"/>
      <c r="M838" s="169"/>
      <c r="N838" s="169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</row>
    <row r="839" spans="1:26" ht="15" x14ac:dyDescent="0.2">
      <c r="A839" s="169"/>
      <c r="B839" s="169"/>
      <c r="C839" s="169"/>
      <c r="D839" s="169"/>
      <c r="E839" s="169"/>
      <c r="F839" s="169"/>
      <c r="G839" s="169"/>
      <c r="H839" s="169"/>
      <c r="I839" s="169"/>
      <c r="J839" s="169"/>
      <c r="K839" s="169"/>
      <c r="L839" s="169"/>
      <c r="M839" s="169"/>
      <c r="N839" s="169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</row>
    <row r="840" spans="1:26" ht="15" x14ac:dyDescent="0.2">
      <c r="A840" s="169"/>
      <c r="B840" s="169"/>
      <c r="C840" s="169"/>
      <c r="D840" s="169"/>
      <c r="E840" s="169"/>
      <c r="F840" s="169"/>
      <c r="G840" s="169"/>
      <c r="H840" s="169"/>
      <c r="I840" s="169"/>
      <c r="J840" s="169"/>
      <c r="K840" s="169"/>
      <c r="L840" s="169"/>
      <c r="M840" s="169"/>
      <c r="N840" s="169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</row>
    <row r="841" spans="1:26" ht="15" x14ac:dyDescent="0.2">
      <c r="A841" s="169"/>
      <c r="B841" s="169"/>
      <c r="C841" s="169"/>
      <c r="D841" s="169"/>
      <c r="E841" s="169"/>
      <c r="F841" s="169"/>
      <c r="G841" s="169"/>
      <c r="H841" s="169"/>
      <c r="I841" s="169"/>
      <c r="J841" s="169"/>
      <c r="K841" s="169"/>
      <c r="L841" s="169"/>
      <c r="M841" s="169"/>
      <c r="N841" s="169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</row>
    <row r="842" spans="1:26" ht="15" x14ac:dyDescent="0.2">
      <c r="A842" s="169"/>
      <c r="B842" s="169"/>
      <c r="C842" s="169"/>
      <c r="D842" s="169"/>
      <c r="E842" s="169"/>
      <c r="F842" s="169"/>
      <c r="G842" s="169"/>
      <c r="H842" s="169"/>
      <c r="I842" s="169"/>
      <c r="J842" s="169"/>
      <c r="K842" s="169"/>
      <c r="L842" s="169"/>
      <c r="M842" s="169"/>
      <c r="N842" s="169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</row>
    <row r="843" spans="1:26" ht="15" x14ac:dyDescent="0.2">
      <c r="A843" s="169"/>
      <c r="B843" s="169"/>
      <c r="C843" s="169"/>
      <c r="D843" s="169"/>
      <c r="E843" s="169"/>
      <c r="F843" s="169"/>
      <c r="G843" s="169"/>
      <c r="H843" s="169"/>
      <c r="I843" s="169"/>
      <c r="J843" s="169"/>
      <c r="K843" s="169"/>
      <c r="L843" s="169"/>
      <c r="M843" s="169"/>
      <c r="N843" s="169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</row>
    <row r="844" spans="1:26" ht="15" x14ac:dyDescent="0.2">
      <c r="A844" s="169"/>
      <c r="B844" s="169"/>
      <c r="C844" s="169"/>
      <c r="D844" s="169"/>
      <c r="E844" s="169"/>
      <c r="F844" s="169"/>
      <c r="G844" s="169"/>
      <c r="H844" s="169"/>
      <c r="I844" s="169"/>
      <c r="J844" s="169"/>
      <c r="K844" s="169"/>
      <c r="L844" s="169"/>
      <c r="M844" s="169"/>
      <c r="N844" s="169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</row>
    <row r="845" spans="1:26" ht="15" x14ac:dyDescent="0.2">
      <c r="A845" s="169"/>
      <c r="B845" s="169"/>
      <c r="C845" s="169"/>
      <c r="D845" s="169"/>
      <c r="E845" s="169"/>
      <c r="F845" s="169"/>
      <c r="G845" s="169"/>
      <c r="H845" s="169"/>
      <c r="I845" s="169"/>
      <c r="J845" s="169"/>
      <c r="K845" s="169"/>
      <c r="L845" s="169"/>
      <c r="M845" s="169"/>
      <c r="N845" s="169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</row>
    <row r="846" spans="1:26" ht="15" x14ac:dyDescent="0.2">
      <c r="A846" s="169"/>
      <c r="B846" s="169"/>
      <c r="C846" s="169"/>
      <c r="D846" s="169"/>
      <c r="E846" s="169"/>
      <c r="F846" s="169"/>
      <c r="G846" s="169"/>
      <c r="H846" s="169"/>
      <c r="I846" s="169"/>
      <c r="J846" s="169"/>
      <c r="K846" s="169"/>
      <c r="L846" s="169"/>
      <c r="M846" s="169"/>
      <c r="N846" s="169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</row>
    <row r="847" spans="1:26" ht="15" x14ac:dyDescent="0.2">
      <c r="A847" s="169"/>
      <c r="B847" s="169"/>
      <c r="C847" s="169"/>
      <c r="D847" s="169"/>
      <c r="E847" s="169"/>
      <c r="F847" s="169"/>
      <c r="G847" s="169"/>
      <c r="H847" s="169"/>
      <c r="I847" s="169"/>
      <c r="J847" s="169"/>
      <c r="K847" s="169"/>
      <c r="L847" s="169"/>
      <c r="M847" s="169"/>
      <c r="N847" s="169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</row>
    <row r="848" spans="1:26" ht="15" x14ac:dyDescent="0.2">
      <c r="A848" s="169"/>
      <c r="B848" s="169"/>
      <c r="C848" s="169"/>
      <c r="D848" s="169"/>
      <c r="E848" s="169"/>
      <c r="F848" s="169"/>
      <c r="G848" s="169"/>
      <c r="H848" s="169"/>
      <c r="I848" s="169"/>
      <c r="J848" s="169"/>
      <c r="K848" s="169"/>
      <c r="L848" s="169"/>
      <c r="M848" s="169"/>
      <c r="N848" s="169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</row>
    <row r="849" spans="1:26" ht="15" x14ac:dyDescent="0.2">
      <c r="A849" s="169"/>
      <c r="B849" s="169"/>
      <c r="C849" s="169"/>
      <c r="D849" s="169"/>
      <c r="E849" s="169"/>
      <c r="F849" s="169"/>
      <c r="G849" s="169"/>
      <c r="H849" s="169"/>
      <c r="I849" s="169"/>
      <c r="J849" s="169"/>
      <c r="K849" s="169"/>
      <c r="L849" s="169"/>
      <c r="M849" s="169"/>
      <c r="N849" s="169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</row>
    <row r="850" spans="1:26" ht="15" x14ac:dyDescent="0.2">
      <c r="A850" s="169"/>
      <c r="B850" s="169"/>
      <c r="C850" s="169"/>
      <c r="D850" s="169"/>
      <c r="E850" s="169"/>
      <c r="F850" s="169"/>
      <c r="G850" s="169"/>
      <c r="H850" s="169"/>
      <c r="I850" s="169"/>
      <c r="J850" s="169"/>
      <c r="K850" s="169"/>
      <c r="L850" s="169"/>
      <c r="M850" s="169"/>
      <c r="N850" s="169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</row>
    <row r="851" spans="1:26" ht="15" x14ac:dyDescent="0.2">
      <c r="A851" s="169"/>
      <c r="B851" s="169"/>
      <c r="C851" s="169"/>
      <c r="D851" s="169"/>
      <c r="E851" s="169"/>
      <c r="F851" s="169"/>
      <c r="G851" s="169"/>
      <c r="H851" s="169"/>
      <c r="I851" s="169"/>
      <c r="J851" s="169"/>
      <c r="K851" s="169"/>
      <c r="L851" s="169"/>
      <c r="M851" s="169"/>
      <c r="N851" s="169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</row>
    <row r="852" spans="1:26" ht="15" x14ac:dyDescent="0.2">
      <c r="A852" s="169"/>
      <c r="B852" s="169"/>
      <c r="C852" s="169"/>
      <c r="D852" s="169"/>
      <c r="E852" s="169"/>
      <c r="F852" s="169"/>
      <c r="G852" s="169"/>
      <c r="H852" s="169"/>
      <c r="I852" s="169"/>
      <c r="J852" s="169"/>
      <c r="K852" s="169"/>
      <c r="L852" s="169"/>
      <c r="M852" s="169"/>
      <c r="N852" s="169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</row>
    <row r="853" spans="1:26" ht="15" x14ac:dyDescent="0.2">
      <c r="A853" s="169"/>
      <c r="B853" s="169"/>
      <c r="C853" s="169"/>
      <c r="D853" s="169"/>
      <c r="E853" s="169"/>
      <c r="F853" s="169"/>
      <c r="G853" s="169"/>
      <c r="H853" s="169"/>
      <c r="I853" s="169"/>
      <c r="J853" s="169"/>
      <c r="K853" s="169"/>
      <c r="L853" s="169"/>
      <c r="M853" s="169"/>
      <c r="N853" s="169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</row>
    <row r="854" spans="1:26" ht="15" x14ac:dyDescent="0.2">
      <c r="A854" s="169"/>
      <c r="B854" s="169"/>
      <c r="C854" s="169"/>
      <c r="D854" s="169"/>
      <c r="E854" s="169"/>
      <c r="F854" s="169"/>
      <c r="G854" s="169"/>
      <c r="H854" s="169"/>
      <c r="I854" s="169"/>
      <c r="J854" s="169"/>
      <c r="K854" s="169"/>
      <c r="L854" s="169"/>
      <c r="M854" s="169"/>
      <c r="N854" s="169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</row>
    <row r="855" spans="1:26" ht="15" x14ac:dyDescent="0.2">
      <c r="A855" s="169"/>
      <c r="B855" s="169"/>
      <c r="C855" s="169"/>
      <c r="D855" s="169"/>
      <c r="E855" s="169"/>
      <c r="F855" s="169"/>
      <c r="G855" s="169"/>
      <c r="H855" s="169"/>
      <c r="I855" s="169"/>
      <c r="J855" s="169"/>
      <c r="K855" s="169"/>
      <c r="L855" s="169"/>
      <c r="M855" s="169"/>
      <c r="N855" s="169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</row>
    <row r="856" spans="1:26" ht="15" x14ac:dyDescent="0.2">
      <c r="A856" s="169"/>
      <c r="B856" s="169"/>
      <c r="C856" s="169"/>
      <c r="D856" s="169"/>
      <c r="E856" s="169"/>
      <c r="F856" s="169"/>
      <c r="G856" s="169"/>
      <c r="H856" s="169"/>
      <c r="I856" s="169"/>
      <c r="J856" s="169"/>
      <c r="K856" s="169"/>
      <c r="L856" s="169"/>
      <c r="M856" s="169"/>
      <c r="N856" s="169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</row>
    <row r="857" spans="1:26" ht="15" x14ac:dyDescent="0.2">
      <c r="A857" s="169"/>
      <c r="B857" s="169"/>
      <c r="C857" s="169"/>
      <c r="D857" s="169"/>
      <c r="E857" s="169"/>
      <c r="F857" s="169"/>
      <c r="G857" s="169"/>
      <c r="H857" s="169"/>
      <c r="I857" s="169"/>
      <c r="J857" s="169"/>
      <c r="K857" s="169"/>
      <c r="L857" s="169"/>
      <c r="M857" s="169"/>
      <c r="N857" s="169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</row>
    <row r="858" spans="1:26" ht="15" x14ac:dyDescent="0.2">
      <c r="A858" s="169"/>
      <c r="B858" s="169"/>
      <c r="C858" s="169"/>
      <c r="D858" s="169"/>
      <c r="E858" s="169"/>
      <c r="F858" s="169"/>
      <c r="G858" s="169"/>
      <c r="H858" s="169"/>
      <c r="I858" s="169"/>
      <c r="J858" s="169"/>
      <c r="K858" s="169"/>
      <c r="L858" s="169"/>
      <c r="M858" s="169"/>
      <c r="N858" s="169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</row>
    <row r="859" spans="1:26" ht="15" x14ac:dyDescent="0.2">
      <c r="A859" s="169"/>
      <c r="B859" s="169"/>
      <c r="C859" s="169"/>
      <c r="D859" s="169"/>
      <c r="E859" s="169"/>
      <c r="F859" s="169"/>
      <c r="G859" s="169"/>
      <c r="H859" s="169"/>
      <c r="I859" s="169"/>
      <c r="J859" s="169"/>
      <c r="K859" s="169"/>
      <c r="L859" s="169"/>
      <c r="M859" s="169"/>
      <c r="N859" s="169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</row>
    <row r="860" spans="1:26" ht="15" x14ac:dyDescent="0.2">
      <c r="A860" s="169"/>
      <c r="B860" s="169"/>
      <c r="C860" s="169"/>
      <c r="D860" s="169"/>
      <c r="E860" s="169"/>
      <c r="F860" s="169"/>
      <c r="G860" s="169"/>
      <c r="H860" s="169"/>
      <c r="I860" s="169"/>
      <c r="J860" s="169"/>
      <c r="K860" s="169"/>
      <c r="L860" s="169"/>
      <c r="M860" s="169"/>
      <c r="N860" s="169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</row>
    <row r="861" spans="1:26" ht="15" x14ac:dyDescent="0.2">
      <c r="A861" s="169"/>
      <c r="B861" s="169"/>
      <c r="C861" s="169"/>
      <c r="D861" s="169"/>
      <c r="E861" s="169"/>
      <c r="F861" s="169"/>
      <c r="G861" s="169"/>
      <c r="H861" s="169"/>
      <c r="I861" s="169"/>
      <c r="J861" s="169"/>
      <c r="K861" s="169"/>
      <c r="L861" s="169"/>
      <c r="M861" s="169"/>
      <c r="N861" s="169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</row>
    <row r="862" spans="1:26" ht="15" x14ac:dyDescent="0.2">
      <c r="A862" s="169"/>
      <c r="B862" s="169"/>
      <c r="C862" s="169"/>
      <c r="D862" s="169"/>
      <c r="E862" s="169"/>
      <c r="F862" s="169"/>
      <c r="G862" s="169"/>
      <c r="H862" s="169"/>
      <c r="I862" s="169"/>
      <c r="J862" s="169"/>
      <c r="K862" s="169"/>
      <c r="L862" s="169"/>
      <c r="M862" s="169"/>
      <c r="N862" s="169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</row>
    <row r="863" spans="1:26" ht="15" x14ac:dyDescent="0.2">
      <c r="A863" s="169"/>
      <c r="B863" s="169"/>
      <c r="C863" s="169"/>
      <c r="D863" s="169"/>
      <c r="E863" s="169"/>
      <c r="F863" s="169"/>
      <c r="G863" s="169"/>
      <c r="H863" s="169"/>
      <c r="I863" s="169"/>
      <c r="J863" s="169"/>
      <c r="K863" s="169"/>
      <c r="L863" s="169"/>
      <c r="M863" s="169"/>
      <c r="N863" s="169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</row>
    <row r="864" spans="1:26" ht="15" x14ac:dyDescent="0.2">
      <c r="A864" s="169"/>
      <c r="B864" s="169"/>
      <c r="C864" s="169"/>
      <c r="D864" s="169"/>
      <c r="E864" s="169"/>
      <c r="F864" s="169"/>
      <c r="G864" s="169"/>
      <c r="H864" s="169"/>
      <c r="I864" s="169"/>
      <c r="J864" s="169"/>
      <c r="K864" s="169"/>
      <c r="L864" s="169"/>
      <c r="M864" s="169"/>
      <c r="N864" s="169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</row>
    <row r="865" spans="1:26" ht="15" x14ac:dyDescent="0.2">
      <c r="A865" s="169"/>
      <c r="B865" s="169"/>
      <c r="C865" s="169"/>
      <c r="D865" s="169"/>
      <c r="E865" s="169"/>
      <c r="F865" s="169"/>
      <c r="G865" s="169"/>
      <c r="H865" s="169"/>
      <c r="I865" s="169"/>
      <c r="J865" s="169"/>
      <c r="K865" s="169"/>
      <c r="L865" s="169"/>
      <c r="M865" s="169"/>
      <c r="N865" s="169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</row>
    <row r="866" spans="1:26" ht="15" x14ac:dyDescent="0.2">
      <c r="A866" s="169"/>
      <c r="B866" s="169"/>
      <c r="C866" s="169"/>
      <c r="D866" s="169"/>
      <c r="E866" s="169"/>
      <c r="F866" s="169"/>
      <c r="G866" s="169"/>
      <c r="H866" s="169"/>
      <c r="I866" s="169"/>
      <c r="J866" s="169"/>
      <c r="K866" s="169"/>
      <c r="L866" s="169"/>
      <c r="M866" s="169"/>
      <c r="N866" s="169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</row>
    <row r="867" spans="1:26" ht="15" x14ac:dyDescent="0.2">
      <c r="A867" s="169"/>
      <c r="B867" s="169"/>
      <c r="C867" s="169"/>
      <c r="D867" s="169"/>
      <c r="E867" s="169"/>
      <c r="F867" s="169"/>
      <c r="G867" s="169"/>
      <c r="H867" s="169"/>
      <c r="I867" s="169"/>
      <c r="J867" s="169"/>
      <c r="K867" s="169"/>
      <c r="L867" s="169"/>
      <c r="M867" s="169"/>
      <c r="N867" s="169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</row>
    <row r="868" spans="1:26" ht="15" x14ac:dyDescent="0.2">
      <c r="A868" s="169"/>
      <c r="B868" s="169"/>
      <c r="C868" s="169"/>
      <c r="D868" s="169"/>
      <c r="E868" s="169"/>
      <c r="F868" s="169"/>
      <c r="G868" s="169"/>
      <c r="H868" s="169"/>
      <c r="I868" s="169"/>
      <c r="J868" s="169"/>
      <c r="K868" s="169"/>
      <c r="L868" s="169"/>
      <c r="M868" s="169"/>
      <c r="N868" s="169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</row>
    <row r="869" spans="1:26" ht="15" x14ac:dyDescent="0.2">
      <c r="A869" s="169"/>
      <c r="B869" s="169"/>
      <c r="C869" s="169"/>
      <c r="D869" s="169"/>
      <c r="E869" s="169"/>
      <c r="F869" s="169"/>
      <c r="G869" s="169"/>
      <c r="H869" s="169"/>
      <c r="I869" s="169"/>
      <c r="J869" s="169"/>
      <c r="K869" s="169"/>
      <c r="L869" s="169"/>
      <c r="M869" s="169"/>
      <c r="N869" s="169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</row>
    <row r="870" spans="1:26" ht="15" x14ac:dyDescent="0.2">
      <c r="A870" s="169"/>
      <c r="B870" s="169"/>
      <c r="C870" s="169"/>
      <c r="D870" s="169"/>
      <c r="E870" s="169"/>
      <c r="F870" s="169"/>
      <c r="G870" s="169"/>
      <c r="H870" s="169"/>
      <c r="I870" s="169"/>
      <c r="J870" s="169"/>
      <c r="K870" s="169"/>
      <c r="L870" s="169"/>
      <c r="M870" s="169"/>
      <c r="N870" s="169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</row>
    <row r="871" spans="1:26" ht="15" x14ac:dyDescent="0.2">
      <c r="A871" s="169"/>
      <c r="B871" s="169"/>
      <c r="C871" s="169"/>
      <c r="D871" s="169"/>
      <c r="E871" s="169"/>
      <c r="F871" s="169"/>
      <c r="G871" s="169"/>
      <c r="H871" s="169"/>
      <c r="I871" s="169"/>
      <c r="J871" s="169"/>
      <c r="K871" s="169"/>
      <c r="L871" s="169"/>
      <c r="M871" s="169"/>
      <c r="N871" s="169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</row>
    <row r="872" spans="1:26" ht="15" x14ac:dyDescent="0.2">
      <c r="A872" s="169"/>
      <c r="B872" s="169"/>
      <c r="C872" s="169"/>
      <c r="D872" s="169"/>
      <c r="E872" s="169"/>
      <c r="F872" s="169"/>
      <c r="G872" s="169"/>
      <c r="H872" s="169"/>
      <c r="I872" s="169"/>
      <c r="J872" s="169"/>
      <c r="K872" s="169"/>
      <c r="L872" s="169"/>
      <c r="M872" s="169"/>
      <c r="N872" s="169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</row>
    <row r="873" spans="1:26" ht="15" x14ac:dyDescent="0.2">
      <c r="A873" s="169"/>
      <c r="B873" s="169"/>
      <c r="C873" s="169"/>
      <c r="D873" s="169"/>
      <c r="E873" s="169"/>
      <c r="F873" s="169"/>
      <c r="G873" s="169"/>
      <c r="H873" s="169"/>
      <c r="I873" s="169"/>
      <c r="J873" s="169"/>
      <c r="K873" s="169"/>
      <c r="L873" s="169"/>
      <c r="M873" s="169"/>
      <c r="N873" s="169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</row>
    <row r="874" spans="1:26" ht="15" x14ac:dyDescent="0.2">
      <c r="A874" s="169"/>
      <c r="B874" s="169"/>
      <c r="C874" s="169"/>
      <c r="D874" s="169"/>
      <c r="E874" s="169"/>
      <c r="F874" s="169"/>
      <c r="G874" s="169"/>
      <c r="H874" s="169"/>
      <c r="I874" s="169"/>
      <c r="J874" s="169"/>
      <c r="K874" s="169"/>
      <c r="L874" s="169"/>
      <c r="M874" s="169"/>
      <c r="N874" s="169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</row>
    <row r="875" spans="1:26" ht="15" x14ac:dyDescent="0.2">
      <c r="A875" s="169"/>
      <c r="B875" s="169"/>
      <c r="C875" s="169"/>
      <c r="D875" s="169"/>
      <c r="E875" s="169"/>
      <c r="F875" s="169"/>
      <c r="G875" s="169"/>
      <c r="H875" s="169"/>
      <c r="I875" s="169"/>
      <c r="J875" s="169"/>
      <c r="K875" s="169"/>
      <c r="L875" s="169"/>
      <c r="M875" s="169"/>
      <c r="N875" s="169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</row>
    <row r="876" spans="1:26" ht="15" x14ac:dyDescent="0.2">
      <c r="A876" s="169"/>
      <c r="B876" s="169"/>
      <c r="C876" s="169"/>
      <c r="D876" s="169"/>
      <c r="E876" s="169"/>
      <c r="F876" s="169"/>
      <c r="G876" s="169"/>
      <c r="H876" s="169"/>
      <c r="I876" s="169"/>
      <c r="J876" s="169"/>
      <c r="K876" s="169"/>
      <c r="L876" s="169"/>
      <c r="M876" s="169"/>
      <c r="N876" s="169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</row>
    <row r="877" spans="1:26" ht="15" x14ac:dyDescent="0.2">
      <c r="A877" s="169"/>
      <c r="B877" s="169"/>
      <c r="C877" s="169"/>
      <c r="D877" s="169"/>
      <c r="E877" s="169"/>
      <c r="F877" s="169"/>
      <c r="G877" s="169"/>
      <c r="H877" s="169"/>
      <c r="I877" s="169"/>
      <c r="J877" s="169"/>
      <c r="K877" s="169"/>
      <c r="L877" s="169"/>
      <c r="M877" s="169"/>
      <c r="N877" s="169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</row>
    <row r="878" spans="1:26" ht="15" x14ac:dyDescent="0.2">
      <c r="A878" s="169"/>
      <c r="B878" s="169"/>
      <c r="C878" s="169"/>
      <c r="D878" s="169"/>
      <c r="E878" s="169"/>
      <c r="F878" s="169"/>
      <c r="G878" s="169"/>
      <c r="H878" s="169"/>
      <c r="I878" s="169"/>
      <c r="J878" s="169"/>
      <c r="K878" s="169"/>
      <c r="L878" s="169"/>
      <c r="M878" s="169"/>
      <c r="N878" s="169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</row>
    <row r="879" spans="1:26" ht="15" x14ac:dyDescent="0.2">
      <c r="A879" s="169"/>
      <c r="B879" s="169"/>
      <c r="C879" s="169"/>
      <c r="D879" s="169"/>
      <c r="E879" s="169"/>
      <c r="F879" s="169"/>
      <c r="G879" s="169"/>
      <c r="H879" s="169"/>
      <c r="I879" s="169"/>
      <c r="J879" s="169"/>
      <c r="K879" s="169"/>
      <c r="L879" s="169"/>
      <c r="M879" s="169"/>
      <c r="N879" s="169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</row>
    <row r="880" spans="1:26" ht="15" x14ac:dyDescent="0.2">
      <c r="A880" s="169"/>
      <c r="B880" s="169"/>
      <c r="C880" s="169"/>
      <c r="D880" s="169"/>
      <c r="E880" s="169"/>
      <c r="F880" s="169"/>
      <c r="G880" s="169"/>
      <c r="H880" s="169"/>
      <c r="I880" s="169"/>
      <c r="J880" s="169"/>
      <c r="K880" s="169"/>
      <c r="L880" s="169"/>
      <c r="M880" s="169"/>
      <c r="N880" s="169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</row>
    <row r="881" spans="1:26" ht="15" x14ac:dyDescent="0.2">
      <c r="A881" s="169"/>
      <c r="B881" s="169"/>
      <c r="C881" s="169"/>
      <c r="D881" s="169"/>
      <c r="E881" s="169"/>
      <c r="F881" s="169"/>
      <c r="G881" s="169"/>
      <c r="H881" s="169"/>
      <c r="I881" s="169"/>
      <c r="J881" s="169"/>
      <c r="K881" s="169"/>
      <c r="L881" s="169"/>
      <c r="M881" s="169"/>
      <c r="N881" s="169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</row>
    <row r="882" spans="1:26" ht="15" x14ac:dyDescent="0.2">
      <c r="A882" s="169"/>
      <c r="B882" s="169"/>
      <c r="C882" s="169"/>
      <c r="D882" s="169"/>
      <c r="E882" s="169"/>
      <c r="F882" s="169"/>
      <c r="G882" s="169"/>
      <c r="H882" s="169"/>
      <c r="I882" s="169"/>
      <c r="J882" s="169"/>
      <c r="K882" s="169"/>
      <c r="L882" s="169"/>
      <c r="M882" s="169"/>
      <c r="N882" s="169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</row>
    <row r="883" spans="1:26" ht="15" x14ac:dyDescent="0.2">
      <c r="A883" s="169"/>
      <c r="B883" s="169"/>
      <c r="C883" s="169"/>
      <c r="D883" s="169"/>
      <c r="E883" s="169"/>
      <c r="F883" s="169"/>
      <c r="G883" s="169"/>
      <c r="H883" s="169"/>
      <c r="I883" s="169"/>
      <c r="J883" s="169"/>
      <c r="K883" s="169"/>
      <c r="L883" s="169"/>
      <c r="M883" s="169"/>
      <c r="N883" s="169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</row>
    <row r="884" spans="1:26" ht="15" x14ac:dyDescent="0.2">
      <c r="A884" s="169"/>
      <c r="B884" s="169"/>
      <c r="C884" s="169"/>
      <c r="D884" s="169"/>
      <c r="E884" s="169"/>
      <c r="F884" s="169"/>
      <c r="G884" s="169"/>
      <c r="H884" s="169"/>
      <c r="I884" s="169"/>
      <c r="J884" s="169"/>
      <c r="K884" s="169"/>
      <c r="L884" s="169"/>
      <c r="M884" s="169"/>
      <c r="N884" s="169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</row>
    <row r="885" spans="1:26" ht="15" x14ac:dyDescent="0.2">
      <c r="A885" s="169"/>
      <c r="B885" s="169"/>
      <c r="C885" s="169"/>
      <c r="D885" s="169"/>
      <c r="E885" s="169"/>
      <c r="F885" s="169"/>
      <c r="G885" s="169"/>
      <c r="H885" s="169"/>
      <c r="I885" s="169"/>
      <c r="J885" s="169"/>
      <c r="K885" s="169"/>
      <c r="L885" s="169"/>
      <c r="M885" s="169"/>
      <c r="N885" s="169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</row>
    <row r="886" spans="1:26" ht="15" x14ac:dyDescent="0.2">
      <c r="A886" s="169"/>
      <c r="B886" s="169"/>
      <c r="C886" s="169"/>
      <c r="D886" s="169"/>
      <c r="E886" s="169"/>
      <c r="F886" s="169"/>
      <c r="G886" s="169"/>
      <c r="H886" s="169"/>
      <c r="I886" s="169"/>
      <c r="J886" s="169"/>
      <c r="K886" s="169"/>
      <c r="L886" s="169"/>
      <c r="M886" s="169"/>
      <c r="N886" s="169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</row>
    <row r="887" spans="1:26" ht="15" x14ac:dyDescent="0.2">
      <c r="A887" s="169"/>
      <c r="B887" s="169"/>
      <c r="C887" s="169"/>
      <c r="D887" s="169"/>
      <c r="E887" s="169"/>
      <c r="F887" s="169"/>
      <c r="G887" s="169"/>
      <c r="H887" s="169"/>
      <c r="I887" s="169"/>
      <c r="J887" s="169"/>
      <c r="K887" s="169"/>
      <c r="L887" s="169"/>
      <c r="M887" s="169"/>
      <c r="N887" s="169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</row>
    <row r="888" spans="1:26" ht="15" x14ac:dyDescent="0.2">
      <c r="A888" s="169"/>
      <c r="B888" s="169"/>
      <c r="C888" s="169"/>
      <c r="D888" s="169"/>
      <c r="E888" s="169"/>
      <c r="F888" s="169"/>
      <c r="G888" s="169"/>
      <c r="H888" s="169"/>
      <c r="I888" s="169"/>
      <c r="J888" s="169"/>
      <c r="K888" s="169"/>
      <c r="L888" s="169"/>
      <c r="M888" s="169"/>
      <c r="N888" s="169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</row>
    <row r="889" spans="1:26" ht="15" x14ac:dyDescent="0.2">
      <c r="A889" s="169"/>
      <c r="B889" s="169"/>
      <c r="C889" s="169"/>
      <c r="D889" s="169"/>
      <c r="E889" s="169"/>
      <c r="F889" s="169"/>
      <c r="G889" s="169"/>
      <c r="H889" s="169"/>
      <c r="I889" s="169"/>
      <c r="J889" s="169"/>
      <c r="K889" s="169"/>
      <c r="L889" s="169"/>
      <c r="M889" s="169"/>
      <c r="N889" s="169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</row>
    <row r="890" spans="1:26" ht="15" x14ac:dyDescent="0.2">
      <c r="A890" s="169"/>
      <c r="B890" s="169"/>
      <c r="C890" s="169"/>
      <c r="D890" s="169"/>
      <c r="E890" s="169"/>
      <c r="F890" s="169"/>
      <c r="G890" s="169"/>
      <c r="H890" s="169"/>
      <c r="I890" s="169"/>
      <c r="J890" s="169"/>
      <c r="K890" s="169"/>
      <c r="L890" s="169"/>
      <c r="M890" s="169"/>
      <c r="N890" s="169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</row>
    <row r="891" spans="1:26" ht="15" x14ac:dyDescent="0.2">
      <c r="A891" s="169"/>
      <c r="B891" s="169"/>
      <c r="C891" s="169"/>
      <c r="D891" s="169"/>
      <c r="E891" s="169"/>
      <c r="F891" s="169"/>
      <c r="G891" s="169"/>
      <c r="H891" s="169"/>
      <c r="I891" s="169"/>
      <c r="J891" s="169"/>
      <c r="K891" s="169"/>
      <c r="L891" s="169"/>
      <c r="M891" s="169"/>
      <c r="N891" s="169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</row>
    <row r="892" spans="1:26" ht="15" x14ac:dyDescent="0.2">
      <c r="A892" s="169"/>
      <c r="B892" s="169"/>
      <c r="C892" s="169"/>
      <c r="D892" s="169"/>
      <c r="E892" s="169"/>
      <c r="F892" s="169"/>
      <c r="G892" s="169"/>
      <c r="H892" s="169"/>
      <c r="I892" s="169"/>
      <c r="J892" s="169"/>
      <c r="K892" s="169"/>
      <c r="L892" s="169"/>
      <c r="M892" s="169"/>
      <c r="N892" s="169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</row>
    <row r="893" spans="1:26" ht="15" x14ac:dyDescent="0.2">
      <c r="A893" s="169"/>
      <c r="B893" s="169"/>
      <c r="C893" s="169"/>
      <c r="D893" s="169"/>
      <c r="E893" s="169"/>
      <c r="F893" s="169"/>
      <c r="G893" s="169"/>
      <c r="H893" s="169"/>
      <c r="I893" s="169"/>
      <c r="J893" s="169"/>
      <c r="K893" s="169"/>
      <c r="L893" s="169"/>
      <c r="M893" s="169"/>
      <c r="N893" s="169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</row>
    <row r="894" spans="1:26" ht="15" x14ac:dyDescent="0.2">
      <c r="A894" s="169"/>
      <c r="B894" s="169"/>
      <c r="C894" s="169"/>
      <c r="D894" s="169"/>
      <c r="E894" s="169"/>
      <c r="F894" s="169"/>
      <c r="G894" s="169"/>
      <c r="H894" s="169"/>
      <c r="I894" s="169"/>
      <c r="J894" s="169"/>
      <c r="K894" s="169"/>
      <c r="L894" s="169"/>
      <c r="M894" s="169"/>
      <c r="N894" s="169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</row>
    <row r="895" spans="1:26" ht="15" x14ac:dyDescent="0.2">
      <c r="A895" s="169"/>
      <c r="B895" s="169"/>
      <c r="C895" s="169"/>
      <c r="D895" s="169"/>
      <c r="E895" s="169"/>
      <c r="F895" s="169"/>
      <c r="G895" s="169"/>
      <c r="H895" s="169"/>
      <c r="I895" s="169"/>
      <c r="J895" s="169"/>
      <c r="K895" s="169"/>
      <c r="L895" s="169"/>
      <c r="M895" s="169"/>
      <c r="N895" s="169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</row>
    <row r="896" spans="1:26" ht="15" x14ac:dyDescent="0.2">
      <c r="A896" s="169"/>
      <c r="B896" s="169"/>
      <c r="C896" s="169"/>
      <c r="D896" s="169"/>
      <c r="E896" s="169"/>
      <c r="F896" s="169"/>
      <c r="G896" s="169"/>
      <c r="H896" s="169"/>
      <c r="I896" s="169"/>
      <c r="J896" s="169"/>
      <c r="K896" s="169"/>
      <c r="L896" s="169"/>
      <c r="M896" s="169"/>
      <c r="N896" s="169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</row>
    <row r="897" spans="1:26" ht="15" x14ac:dyDescent="0.2">
      <c r="A897" s="169"/>
      <c r="B897" s="169"/>
      <c r="C897" s="169"/>
      <c r="D897" s="169"/>
      <c r="E897" s="169"/>
      <c r="F897" s="169"/>
      <c r="G897" s="169"/>
      <c r="H897" s="169"/>
      <c r="I897" s="169"/>
      <c r="J897" s="169"/>
      <c r="K897" s="169"/>
      <c r="L897" s="169"/>
      <c r="M897" s="169"/>
      <c r="N897" s="169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</row>
    <row r="898" spans="1:26" ht="15" x14ac:dyDescent="0.2">
      <c r="A898" s="169"/>
      <c r="B898" s="169"/>
      <c r="C898" s="169"/>
      <c r="D898" s="169"/>
      <c r="E898" s="169"/>
      <c r="F898" s="169"/>
      <c r="G898" s="169"/>
      <c r="H898" s="169"/>
      <c r="I898" s="169"/>
      <c r="J898" s="169"/>
      <c r="K898" s="169"/>
      <c r="L898" s="169"/>
      <c r="M898" s="169"/>
      <c r="N898" s="169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</row>
    <row r="899" spans="1:26" ht="15" x14ac:dyDescent="0.2">
      <c r="A899" s="169"/>
      <c r="B899" s="169"/>
      <c r="C899" s="169"/>
      <c r="D899" s="169"/>
      <c r="E899" s="169"/>
      <c r="F899" s="169"/>
      <c r="G899" s="169"/>
      <c r="H899" s="169"/>
      <c r="I899" s="169"/>
      <c r="J899" s="169"/>
      <c r="K899" s="169"/>
      <c r="L899" s="169"/>
      <c r="M899" s="169"/>
      <c r="N899" s="169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</row>
    <row r="900" spans="1:26" ht="15" x14ac:dyDescent="0.2">
      <c r="A900" s="169"/>
      <c r="B900" s="169"/>
      <c r="C900" s="169"/>
      <c r="D900" s="169"/>
      <c r="E900" s="169"/>
      <c r="F900" s="169"/>
      <c r="G900" s="169"/>
      <c r="H900" s="169"/>
      <c r="I900" s="169"/>
      <c r="J900" s="169"/>
      <c r="K900" s="169"/>
      <c r="L900" s="169"/>
      <c r="M900" s="169"/>
      <c r="N900" s="169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</row>
    <row r="901" spans="1:26" ht="15" x14ac:dyDescent="0.2">
      <c r="A901" s="169"/>
      <c r="B901" s="169"/>
      <c r="C901" s="169"/>
      <c r="D901" s="169"/>
      <c r="E901" s="169"/>
      <c r="F901" s="169"/>
      <c r="G901" s="169"/>
      <c r="H901" s="169"/>
      <c r="I901" s="169"/>
      <c r="J901" s="169"/>
      <c r="K901" s="169"/>
      <c r="L901" s="169"/>
      <c r="M901" s="169"/>
      <c r="N901" s="169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</row>
    <row r="902" spans="1:26" ht="15" x14ac:dyDescent="0.2">
      <c r="A902" s="169"/>
      <c r="B902" s="169"/>
      <c r="C902" s="169"/>
      <c r="D902" s="169"/>
      <c r="E902" s="169"/>
      <c r="F902" s="169"/>
      <c r="G902" s="169"/>
      <c r="H902" s="169"/>
      <c r="I902" s="169"/>
      <c r="J902" s="169"/>
      <c r="K902" s="169"/>
      <c r="L902" s="169"/>
      <c r="M902" s="169"/>
      <c r="N902" s="169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</row>
    <row r="903" spans="1:26" ht="15" x14ac:dyDescent="0.2">
      <c r="A903" s="169"/>
      <c r="B903" s="169"/>
      <c r="C903" s="169"/>
      <c r="D903" s="169"/>
      <c r="E903" s="169"/>
      <c r="F903" s="169"/>
      <c r="G903" s="169"/>
      <c r="H903" s="169"/>
      <c r="I903" s="169"/>
      <c r="J903" s="169"/>
      <c r="K903" s="169"/>
      <c r="L903" s="169"/>
      <c r="M903" s="169"/>
      <c r="N903" s="169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</row>
    <row r="904" spans="1:26" ht="15" x14ac:dyDescent="0.2">
      <c r="A904" s="169"/>
      <c r="B904" s="169"/>
      <c r="C904" s="169"/>
      <c r="D904" s="169"/>
      <c r="E904" s="169"/>
      <c r="F904" s="169"/>
      <c r="G904" s="169"/>
      <c r="H904" s="169"/>
      <c r="I904" s="169"/>
      <c r="J904" s="169"/>
      <c r="K904" s="169"/>
      <c r="L904" s="169"/>
      <c r="M904" s="169"/>
      <c r="N904" s="169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</row>
    <row r="905" spans="1:26" ht="15" x14ac:dyDescent="0.2">
      <c r="A905" s="169"/>
      <c r="B905" s="169"/>
      <c r="C905" s="169"/>
      <c r="D905" s="169"/>
      <c r="E905" s="169"/>
      <c r="F905" s="169"/>
      <c r="G905" s="169"/>
      <c r="H905" s="169"/>
      <c r="I905" s="169"/>
      <c r="J905" s="169"/>
      <c r="K905" s="169"/>
      <c r="L905" s="169"/>
      <c r="M905" s="169"/>
      <c r="N905" s="169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</row>
    <row r="906" spans="1:26" ht="15" x14ac:dyDescent="0.2">
      <c r="A906" s="169"/>
      <c r="B906" s="169"/>
      <c r="C906" s="169"/>
      <c r="D906" s="169"/>
      <c r="E906" s="169"/>
      <c r="F906" s="169"/>
      <c r="G906" s="169"/>
      <c r="H906" s="169"/>
      <c r="I906" s="169"/>
      <c r="J906" s="169"/>
      <c r="K906" s="169"/>
      <c r="L906" s="169"/>
      <c r="M906" s="169"/>
      <c r="N906" s="169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</row>
    <row r="907" spans="1:26" ht="15" x14ac:dyDescent="0.2">
      <c r="A907" s="169"/>
      <c r="B907" s="169"/>
      <c r="C907" s="169"/>
      <c r="D907" s="169"/>
      <c r="E907" s="169"/>
      <c r="F907" s="169"/>
      <c r="G907" s="169"/>
      <c r="H907" s="169"/>
      <c r="I907" s="169"/>
      <c r="J907" s="169"/>
      <c r="K907" s="169"/>
      <c r="L907" s="169"/>
      <c r="M907" s="169"/>
      <c r="N907" s="169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</row>
    <row r="908" spans="1:26" ht="15" x14ac:dyDescent="0.2">
      <c r="A908" s="169"/>
      <c r="B908" s="169"/>
      <c r="C908" s="169"/>
      <c r="D908" s="169"/>
      <c r="E908" s="169"/>
      <c r="F908" s="169"/>
      <c r="G908" s="169"/>
      <c r="H908" s="169"/>
      <c r="I908" s="169"/>
      <c r="J908" s="169"/>
      <c r="K908" s="169"/>
      <c r="L908" s="169"/>
      <c r="M908" s="169"/>
      <c r="N908" s="169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</row>
    <row r="909" spans="1:26" ht="15" x14ac:dyDescent="0.2">
      <c r="A909" s="169"/>
      <c r="B909" s="169"/>
      <c r="C909" s="169"/>
      <c r="D909" s="169"/>
      <c r="E909" s="169"/>
      <c r="F909" s="169"/>
      <c r="G909" s="169"/>
      <c r="H909" s="169"/>
      <c r="I909" s="169"/>
      <c r="J909" s="169"/>
      <c r="K909" s="169"/>
      <c r="L909" s="169"/>
      <c r="M909" s="169"/>
      <c r="N909" s="169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</row>
    <row r="910" spans="1:26" ht="15" x14ac:dyDescent="0.2">
      <c r="A910" s="169"/>
      <c r="B910" s="169"/>
      <c r="C910" s="169"/>
      <c r="D910" s="169"/>
      <c r="E910" s="169"/>
      <c r="F910" s="169"/>
      <c r="G910" s="169"/>
      <c r="H910" s="169"/>
      <c r="I910" s="169"/>
      <c r="J910" s="169"/>
      <c r="K910" s="169"/>
      <c r="L910" s="169"/>
      <c r="M910" s="169"/>
      <c r="N910" s="169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</row>
    <row r="911" spans="1:26" ht="15" x14ac:dyDescent="0.2">
      <c r="A911" s="169"/>
      <c r="B911" s="169"/>
      <c r="C911" s="169"/>
      <c r="D911" s="169"/>
      <c r="E911" s="169"/>
      <c r="F911" s="169"/>
      <c r="G911" s="169"/>
      <c r="H911" s="169"/>
      <c r="I911" s="169"/>
      <c r="J911" s="169"/>
      <c r="K911" s="169"/>
      <c r="L911" s="169"/>
      <c r="M911" s="169"/>
      <c r="N911" s="169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</row>
    <row r="912" spans="1:26" ht="15" x14ac:dyDescent="0.2">
      <c r="A912" s="169"/>
      <c r="B912" s="169"/>
      <c r="C912" s="169"/>
      <c r="D912" s="169"/>
      <c r="E912" s="169"/>
      <c r="F912" s="169"/>
      <c r="G912" s="169"/>
      <c r="H912" s="169"/>
      <c r="I912" s="169"/>
      <c r="J912" s="169"/>
      <c r="K912" s="169"/>
      <c r="L912" s="169"/>
      <c r="M912" s="169"/>
      <c r="N912" s="169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</row>
    <row r="913" spans="1:26" ht="15" x14ac:dyDescent="0.2">
      <c r="A913" s="169"/>
      <c r="B913" s="169"/>
      <c r="C913" s="169"/>
      <c r="D913" s="169"/>
      <c r="E913" s="169"/>
      <c r="F913" s="169"/>
      <c r="G913" s="169"/>
      <c r="H913" s="169"/>
      <c r="I913" s="169"/>
      <c r="J913" s="169"/>
      <c r="K913" s="169"/>
      <c r="L913" s="169"/>
      <c r="M913" s="169"/>
      <c r="N913" s="169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</row>
    <row r="914" spans="1:26" ht="15" x14ac:dyDescent="0.2">
      <c r="A914" s="169"/>
      <c r="B914" s="169"/>
      <c r="C914" s="169"/>
      <c r="D914" s="169"/>
      <c r="E914" s="169"/>
      <c r="F914" s="169"/>
      <c r="G914" s="169"/>
      <c r="H914" s="169"/>
      <c r="I914" s="169"/>
      <c r="J914" s="169"/>
      <c r="K914" s="169"/>
      <c r="L914" s="169"/>
      <c r="M914" s="169"/>
      <c r="N914" s="169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</row>
    <row r="915" spans="1:26" ht="15" x14ac:dyDescent="0.2">
      <c r="A915" s="169"/>
      <c r="B915" s="169"/>
      <c r="C915" s="169"/>
      <c r="D915" s="169"/>
      <c r="E915" s="169"/>
      <c r="F915" s="169"/>
      <c r="G915" s="169"/>
      <c r="H915" s="169"/>
      <c r="I915" s="169"/>
      <c r="J915" s="169"/>
      <c r="K915" s="169"/>
      <c r="L915" s="169"/>
      <c r="M915" s="169"/>
      <c r="N915" s="169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</row>
    <row r="916" spans="1:26" ht="15" x14ac:dyDescent="0.2">
      <c r="A916" s="169"/>
      <c r="B916" s="169"/>
      <c r="C916" s="169"/>
      <c r="D916" s="169"/>
      <c r="E916" s="169"/>
      <c r="F916" s="169"/>
      <c r="G916" s="169"/>
      <c r="H916" s="169"/>
      <c r="I916" s="169"/>
      <c r="J916" s="169"/>
      <c r="K916" s="169"/>
      <c r="L916" s="169"/>
      <c r="M916" s="169"/>
      <c r="N916" s="169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</row>
    <row r="917" spans="1:26" ht="15" x14ac:dyDescent="0.2">
      <c r="A917" s="169"/>
      <c r="B917" s="169"/>
      <c r="C917" s="169"/>
      <c r="D917" s="169"/>
      <c r="E917" s="169"/>
      <c r="F917" s="169"/>
      <c r="G917" s="169"/>
      <c r="H917" s="169"/>
      <c r="I917" s="169"/>
      <c r="J917" s="169"/>
      <c r="K917" s="169"/>
      <c r="L917" s="169"/>
      <c r="M917" s="169"/>
      <c r="N917" s="169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</row>
    <row r="918" spans="1:26" ht="15" x14ac:dyDescent="0.2">
      <c r="A918" s="169"/>
      <c r="B918" s="169"/>
      <c r="C918" s="169"/>
      <c r="D918" s="169"/>
      <c r="E918" s="169"/>
      <c r="F918" s="169"/>
      <c r="G918" s="169"/>
      <c r="H918" s="169"/>
      <c r="I918" s="169"/>
      <c r="J918" s="169"/>
      <c r="K918" s="169"/>
      <c r="L918" s="169"/>
      <c r="M918" s="169"/>
      <c r="N918" s="169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</row>
    <row r="919" spans="1:26" ht="15" x14ac:dyDescent="0.2">
      <c r="A919" s="169"/>
      <c r="B919" s="169"/>
      <c r="C919" s="169"/>
      <c r="D919" s="169"/>
      <c r="E919" s="169"/>
      <c r="F919" s="169"/>
      <c r="G919" s="169"/>
      <c r="H919" s="169"/>
      <c r="I919" s="169"/>
      <c r="J919" s="169"/>
      <c r="K919" s="169"/>
      <c r="L919" s="169"/>
      <c r="M919" s="169"/>
      <c r="N919" s="169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</row>
    <row r="920" spans="1:26" ht="15" x14ac:dyDescent="0.2">
      <c r="A920" s="169"/>
      <c r="B920" s="169"/>
      <c r="C920" s="169"/>
      <c r="D920" s="169"/>
      <c r="E920" s="169"/>
      <c r="F920" s="169"/>
      <c r="G920" s="169"/>
      <c r="H920" s="169"/>
      <c r="I920" s="169"/>
      <c r="J920" s="169"/>
      <c r="K920" s="169"/>
      <c r="L920" s="169"/>
      <c r="M920" s="169"/>
      <c r="N920" s="169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</row>
    <row r="921" spans="1:26" ht="15" x14ac:dyDescent="0.2">
      <c r="A921" s="169"/>
      <c r="B921" s="169"/>
      <c r="C921" s="169"/>
      <c r="D921" s="169"/>
      <c r="E921" s="169"/>
      <c r="F921" s="169"/>
      <c r="G921" s="169"/>
      <c r="H921" s="169"/>
      <c r="I921" s="169"/>
      <c r="J921" s="169"/>
      <c r="K921" s="169"/>
      <c r="L921" s="169"/>
      <c r="M921" s="169"/>
      <c r="N921" s="169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</row>
    <row r="922" spans="1:26" ht="15" x14ac:dyDescent="0.2">
      <c r="A922" s="169"/>
      <c r="B922" s="169"/>
      <c r="C922" s="169"/>
      <c r="D922" s="169"/>
      <c r="E922" s="169"/>
      <c r="F922" s="169"/>
      <c r="G922" s="169"/>
      <c r="H922" s="169"/>
      <c r="I922" s="169"/>
      <c r="J922" s="169"/>
      <c r="K922" s="169"/>
      <c r="L922" s="169"/>
      <c r="M922" s="169"/>
      <c r="N922" s="169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</row>
    <row r="923" spans="1:26" ht="15" x14ac:dyDescent="0.2">
      <c r="A923" s="169"/>
      <c r="B923" s="169"/>
      <c r="C923" s="169"/>
      <c r="D923" s="169"/>
      <c r="E923" s="169"/>
      <c r="F923" s="169"/>
      <c r="G923" s="169"/>
      <c r="H923" s="169"/>
      <c r="I923" s="169"/>
      <c r="J923" s="169"/>
      <c r="K923" s="169"/>
      <c r="L923" s="169"/>
      <c r="M923" s="169"/>
      <c r="N923" s="169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</row>
    <row r="924" spans="1:26" ht="15" x14ac:dyDescent="0.2">
      <c r="A924" s="169"/>
      <c r="B924" s="169"/>
      <c r="C924" s="169"/>
      <c r="D924" s="169"/>
      <c r="E924" s="169"/>
      <c r="F924" s="169"/>
      <c r="G924" s="169"/>
      <c r="H924" s="169"/>
      <c r="I924" s="169"/>
      <c r="J924" s="169"/>
      <c r="K924" s="169"/>
      <c r="L924" s="169"/>
      <c r="M924" s="169"/>
      <c r="N924" s="169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</row>
    <row r="925" spans="1:26" ht="15" x14ac:dyDescent="0.2">
      <c r="A925" s="169"/>
      <c r="B925" s="169"/>
      <c r="C925" s="169"/>
      <c r="D925" s="169"/>
      <c r="E925" s="169"/>
      <c r="F925" s="169"/>
      <c r="G925" s="169"/>
      <c r="H925" s="169"/>
      <c r="I925" s="169"/>
      <c r="J925" s="169"/>
      <c r="K925" s="169"/>
      <c r="L925" s="169"/>
      <c r="M925" s="169"/>
      <c r="N925" s="169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</row>
    <row r="926" spans="1:26" ht="15" x14ac:dyDescent="0.2">
      <c r="A926" s="169"/>
      <c r="B926" s="169"/>
      <c r="C926" s="169"/>
      <c r="D926" s="169"/>
      <c r="E926" s="169"/>
      <c r="F926" s="169"/>
      <c r="G926" s="169"/>
      <c r="H926" s="169"/>
      <c r="I926" s="169"/>
      <c r="J926" s="169"/>
      <c r="K926" s="169"/>
      <c r="L926" s="169"/>
      <c r="M926" s="169"/>
      <c r="N926" s="169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</row>
    <row r="927" spans="1:26" ht="15" x14ac:dyDescent="0.2">
      <c r="A927" s="169"/>
      <c r="B927" s="169"/>
      <c r="C927" s="169"/>
      <c r="D927" s="169"/>
      <c r="E927" s="169"/>
      <c r="F927" s="169"/>
      <c r="G927" s="169"/>
      <c r="H927" s="169"/>
      <c r="I927" s="169"/>
      <c r="J927" s="169"/>
      <c r="K927" s="169"/>
      <c r="L927" s="169"/>
      <c r="M927" s="169"/>
      <c r="N927" s="169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</row>
    <row r="928" spans="1:26" ht="15" x14ac:dyDescent="0.2">
      <c r="A928" s="169"/>
      <c r="B928" s="169"/>
      <c r="C928" s="169"/>
      <c r="D928" s="169"/>
      <c r="E928" s="169"/>
      <c r="F928" s="169"/>
      <c r="G928" s="169"/>
      <c r="H928" s="169"/>
      <c r="I928" s="169"/>
      <c r="J928" s="169"/>
      <c r="K928" s="169"/>
      <c r="L928" s="169"/>
      <c r="M928" s="169"/>
      <c r="N928" s="169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</row>
    <row r="929" spans="1:26" ht="15" x14ac:dyDescent="0.2">
      <c r="A929" s="169"/>
      <c r="B929" s="169"/>
      <c r="C929" s="169"/>
      <c r="D929" s="169"/>
      <c r="E929" s="169"/>
      <c r="F929" s="169"/>
      <c r="G929" s="169"/>
      <c r="H929" s="169"/>
      <c r="I929" s="169"/>
      <c r="J929" s="169"/>
      <c r="K929" s="169"/>
      <c r="L929" s="169"/>
      <c r="M929" s="169"/>
      <c r="N929" s="169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</row>
    <row r="930" spans="1:26" ht="15" x14ac:dyDescent="0.2">
      <c r="A930" s="169"/>
      <c r="B930" s="169"/>
      <c r="C930" s="169"/>
      <c r="D930" s="169"/>
      <c r="E930" s="169"/>
      <c r="F930" s="169"/>
      <c r="G930" s="169"/>
      <c r="H930" s="169"/>
      <c r="I930" s="169"/>
      <c r="J930" s="169"/>
      <c r="K930" s="169"/>
      <c r="L930" s="169"/>
      <c r="M930" s="169"/>
      <c r="N930" s="169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</row>
    <row r="931" spans="1:26" ht="15" x14ac:dyDescent="0.2">
      <c r="A931" s="169"/>
      <c r="B931" s="169"/>
      <c r="C931" s="169"/>
      <c r="D931" s="169"/>
      <c r="E931" s="169"/>
      <c r="F931" s="169"/>
      <c r="G931" s="169"/>
      <c r="H931" s="169"/>
      <c r="I931" s="169"/>
      <c r="J931" s="169"/>
      <c r="K931" s="169"/>
      <c r="L931" s="169"/>
      <c r="M931" s="169"/>
      <c r="N931" s="169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</row>
    <row r="932" spans="1:26" ht="15" x14ac:dyDescent="0.2">
      <c r="A932" s="169"/>
      <c r="B932" s="169"/>
      <c r="C932" s="169"/>
      <c r="D932" s="169"/>
      <c r="E932" s="169"/>
      <c r="F932" s="169"/>
      <c r="G932" s="169"/>
      <c r="H932" s="169"/>
      <c r="I932" s="169"/>
      <c r="J932" s="169"/>
      <c r="K932" s="169"/>
      <c r="L932" s="169"/>
      <c r="M932" s="169"/>
      <c r="N932" s="169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</row>
    <row r="933" spans="1:26" ht="15" x14ac:dyDescent="0.2">
      <c r="A933" s="169"/>
      <c r="B933" s="169"/>
      <c r="C933" s="169"/>
      <c r="D933" s="169"/>
      <c r="E933" s="169"/>
      <c r="F933" s="169"/>
      <c r="G933" s="169"/>
      <c r="H933" s="169"/>
      <c r="I933" s="169"/>
      <c r="J933" s="169"/>
      <c r="K933" s="169"/>
      <c r="L933" s="169"/>
      <c r="M933" s="169"/>
      <c r="N933" s="169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</row>
    <row r="934" spans="1:26" ht="15" x14ac:dyDescent="0.2">
      <c r="A934" s="169"/>
      <c r="B934" s="169"/>
      <c r="C934" s="169"/>
      <c r="D934" s="169"/>
      <c r="E934" s="169"/>
      <c r="F934" s="169"/>
      <c r="G934" s="169"/>
      <c r="H934" s="169"/>
      <c r="I934" s="169"/>
      <c r="J934" s="169"/>
      <c r="K934" s="169"/>
      <c r="L934" s="169"/>
      <c r="M934" s="169"/>
      <c r="N934" s="169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</row>
    <row r="935" spans="1:26" ht="15" x14ac:dyDescent="0.2">
      <c r="A935" s="169"/>
      <c r="B935" s="169"/>
      <c r="C935" s="169"/>
      <c r="D935" s="169"/>
      <c r="E935" s="169"/>
      <c r="F935" s="169"/>
      <c r="G935" s="169"/>
      <c r="H935" s="169"/>
      <c r="I935" s="169"/>
      <c r="J935" s="169"/>
      <c r="K935" s="169"/>
      <c r="L935" s="169"/>
      <c r="M935" s="169"/>
      <c r="N935" s="169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</row>
    <row r="936" spans="1:26" ht="15" x14ac:dyDescent="0.2">
      <c r="A936" s="169"/>
      <c r="B936" s="169"/>
      <c r="C936" s="169"/>
      <c r="D936" s="169"/>
      <c r="E936" s="169"/>
      <c r="F936" s="169"/>
      <c r="G936" s="169"/>
      <c r="H936" s="169"/>
      <c r="I936" s="169"/>
      <c r="J936" s="169"/>
      <c r="K936" s="169"/>
      <c r="L936" s="169"/>
      <c r="M936" s="169"/>
      <c r="N936" s="169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</row>
    <row r="937" spans="1:26" ht="15" x14ac:dyDescent="0.2">
      <c r="A937" s="169"/>
      <c r="B937" s="169"/>
      <c r="C937" s="169"/>
      <c r="D937" s="169"/>
      <c r="E937" s="169"/>
      <c r="F937" s="169"/>
      <c r="G937" s="169"/>
      <c r="H937" s="169"/>
      <c r="I937" s="169"/>
      <c r="J937" s="169"/>
      <c r="K937" s="169"/>
      <c r="L937" s="169"/>
      <c r="M937" s="169"/>
      <c r="N937" s="169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</row>
    <row r="938" spans="1:26" ht="15" x14ac:dyDescent="0.2">
      <c r="A938" s="169"/>
      <c r="B938" s="169"/>
      <c r="C938" s="169"/>
      <c r="D938" s="169"/>
      <c r="E938" s="169"/>
      <c r="F938" s="169"/>
      <c r="G938" s="169"/>
      <c r="H938" s="169"/>
      <c r="I938" s="169"/>
      <c r="J938" s="169"/>
      <c r="K938" s="169"/>
      <c r="L938" s="169"/>
      <c r="M938" s="169"/>
      <c r="N938" s="169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</row>
    <row r="939" spans="1:26" ht="15" x14ac:dyDescent="0.2">
      <c r="A939" s="169"/>
      <c r="B939" s="169"/>
      <c r="C939" s="169"/>
      <c r="D939" s="169"/>
      <c r="E939" s="169"/>
      <c r="F939" s="169"/>
      <c r="G939" s="169"/>
      <c r="H939" s="169"/>
      <c r="I939" s="169"/>
      <c r="J939" s="169"/>
      <c r="K939" s="169"/>
      <c r="L939" s="169"/>
      <c r="M939" s="169"/>
      <c r="N939" s="169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</row>
    <row r="940" spans="1:26" ht="15" x14ac:dyDescent="0.2">
      <c r="A940" s="169"/>
      <c r="B940" s="169"/>
      <c r="C940" s="169"/>
      <c r="D940" s="169"/>
      <c r="E940" s="169"/>
      <c r="F940" s="169"/>
      <c r="G940" s="169"/>
      <c r="H940" s="169"/>
      <c r="I940" s="169"/>
      <c r="J940" s="169"/>
      <c r="K940" s="169"/>
      <c r="L940" s="169"/>
      <c r="M940" s="169"/>
      <c r="N940" s="169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</row>
    <row r="941" spans="1:26" ht="15" x14ac:dyDescent="0.2">
      <c r="A941" s="169"/>
      <c r="B941" s="169"/>
      <c r="C941" s="169"/>
      <c r="D941" s="169"/>
      <c r="E941" s="169"/>
      <c r="F941" s="169"/>
      <c r="G941" s="169"/>
      <c r="H941" s="169"/>
      <c r="I941" s="169"/>
      <c r="J941" s="169"/>
      <c r="K941" s="169"/>
      <c r="L941" s="169"/>
      <c r="M941" s="169"/>
      <c r="N941" s="169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</row>
    <row r="942" spans="1:26" ht="15" x14ac:dyDescent="0.2">
      <c r="A942" s="169"/>
      <c r="B942" s="169"/>
      <c r="C942" s="169"/>
      <c r="D942" s="169"/>
      <c r="E942" s="169"/>
      <c r="F942" s="169"/>
      <c r="G942" s="169"/>
      <c r="H942" s="169"/>
      <c r="I942" s="169"/>
      <c r="J942" s="169"/>
      <c r="K942" s="169"/>
      <c r="L942" s="169"/>
      <c r="M942" s="169"/>
      <c r="N942" s="169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</row>
    <row r="943" spans="1:26" ht="15" x14ac:dyDescent="0.2">
      <c r="A943" s="169"/>
      <c r="B943" s="169"/>
      <c r="C943" s="169"/>
      <c r="D943" s="169"/>
      <c r="E943" s="169"/>
      <c r="F943" s="169"/>
      <c r="G943" s="169"/>
      <c r="H943" s="169"/>
      <c r="I943" s="169"/>
      <c r="J943" s="169"/>
      <c r="K943" s="169"/>
      <c r="L943" s="169"/>
      <c r="M943" s="169"/>
      <c r="N943" s="169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</row>
    <row r="944" spans="1:26" ht="15" x14ac:dyDescent="0.2">
      <c r="A944" s="169"/>
      <c r="B944" s="169"/>
      <c r="C944" s="169"/>
      <c r="D944" s="169"/>
      <c r="E944" s="169"/>
      <c r="F944" s="169"/>
      <c r="G944" s="169"/>
      <c r="H944" s="169"/>
      <c r="I944" s="169"/>
      <c r="J944" s="169"/>
      <c r="K944" s="169"/>
      <c r="L944" s="169"/>
      <c r="M944" s="169"/>
      <c r="N944" s="169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</row>
    <row r="945" spans="1:26" ht="15" x14ac:dyDescent="0.2">
      <c r="A945" s="169"/>
      <c r="B945" s="169"/>
      <c r="C945" s="169"/>
      <c r="D945" s="169"/>
      <c r="E945" s="169"/>
      <c r="F945" s="169"/>
      <c r="G945" s="169"/>
      <c r="H945" s="169"/>
      <c r="I945" s="169"/>
      <c r="J945" s="169"/>
      <c r="K945" s="169"/>
      <c r="L945" s="169"/>
      <c r="M945" s="169"/>
      <c r="N945" s="169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</row>
    <row r="946" spans="1:26" ht="15" x14ac:dyDescent="0.2">
      <c r="A946" s="169"/>
      <c r="B946" s="169"/>
      <c r="C946" s="169"/>
      <c r="D946" s="169"/>
      <c r="E946" s="169"/>
      <c r="F946" s="169"/>
      <c r="G946" s="169"/>
      <c r="H946" s="169"/>
      <c r="I946" s="169"/>
      <c r="J946" s="169"/>
      <c r="K946" s="169"/>
      <c r="L946" s="169"/>
      <c r="M946" s="169"/>
      <c r="N946" s="169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</row>
    <row r="947" spans="1:26" ht="15" x14ac:dyDescent="0.2">
      <c r="A947" s="169"/>
      <c r="B947" s="169"/>
      <c r="C947" s="169"/>
      <c r="D947" s="169"/>
      <c r="E947" s="169"/>
      <c r="F947" s="169"/>
      <c r="G947" s="169"/>
      <c r="H947" s="169"/>
      <c r="I947" s="169"/>
      <c r="J947" s="169"/>
      <c r="K947" s="169"/>
      <c r="L947" s="169"/>
      <c r="M947" s="169"/>
      <c r="N947" s="169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</row>
    <row r="948" spans="1:26" ht="15" x14ac:dyDescent="0.2">
      <c r="A948" s="169"/>
      <c r="B948" s="169"/>
      <c r="C948" s="169"/>
      <c r="D948" s="169"/>
      <c r="E948" s="169"/>
      <c r="F948" s="169"/>
      <c r="G948" s="169"/>
      <c r="H948" s="169"/>
      <c r="I948" s="169"/>
      <c r="J948" s="169"/>
      <c r="K948" s="169"/>
      <c r="L948" s="169"/>
      <c r="M948" s="169"/>
      <c r="N948" s="169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</row>
    <row r="949" spans="1:26" ht="15" x14ac:dyDescent="0.2">
      <c r="A949" s="169"/>
      <c r="B949" s="169"/>
      <c r="C949" s="169"/>
      <c r="D949" s="169"/>
      <c r="E949" s="169"/>
      <c r="F949" s="169"/>
      <c r="G949" s="169"/>
      <c r="H949" s="169"/>
      <c r="I949" s="169"/>
      <c r="J949" s="169"/>
      <c r="K949" s="169"/>
      <c r="L949" s="169"/>
      <c r="M949" s="169"/>
      <c r="N949" s="169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</row>
    <row r="950" spans="1:26" ht="15" x14ac:dyDescent="0.2">
      <c r="A950" s="169"/>
      <c r="B950" s="169"/>
      <c r="C950" s="169"/>
      <c r="D950" s="169"/>
      <c r="E950" s="169"/>
      <c r="F950" s="169"/>
      <c r="G950" s="169"/>
      <c r="H950" s="169"/>
      <c r="I950" s="169"/>
      <c r="J950" s="169"/>
      <c r="K950" s="169"/>
      <c r="L950" s="169"/>
      <c r="M950" s="169"/>
      <c r="N950" s="169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</row>
    <row r="951" spans="1:26" ht="15" x14ac:dyDescent="0.2">
      <c r="A951" s="169"/>
      <c r="B951" s="169"/>
      <c r="C951" s="169"/>
      <c r="D951" s="169"/>
      <c r="E951" s="169"/>
      <c r="F951" s="169"/>
      <c r="G951" s="169"/>
      <c r="H951" s="169"/>
      <c r="I951" s="169"/>
      <c r="J951" s="169"/>
      <c r="K951" s="169"/>
      <c r="L951" s="169"/>
      <c r="M951" s="169"/>
      <c r="N951" s="169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</row>
    <row r="952" spans="1:26" ht="15" x14ac:dyDescent="0.2">
      <c r="A952" s="169"/>
      <c r="B952" s="169"/>
      <c r="C952" s="169"/>
      <c r="D952" s="169"/>
      <c r="E952" s="169"/>
      <c r="F952" s="169"/>
      <c r="G952" s="169"/>
      <c r="H952" s="169"/>
      <c r="I952" s="169"/>
      <c r="J952" s="169"/>
      <c r="K952" s="169"/>
      <c r="L952" s="169"/>
      <c r="M952" s="169"/>
      <c r="N952" s="169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</row>
    <row r="953" spans="1:26" ht="15" x14ac:dyDescent="0.2">
      <c r="A953" s="169"/>
      <c r="B953" s="169"/>
      <c r="C953" s="169"/>
      <c r="D953" s="169"/>
      <c r="E953" s="169"/>
      <c r="F953" s="169"/>
      <c r="G953" s="169"/>
      <c r="H953" s="169"/>
      <c r="I953" s="169"/>
      <c r="J953" s="169"/>
      <c r="K953" s="169"/>
      <c r="L953" s="169"/>
      <c r="M953" s="169"/>
      <c r="N953" s="169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</row>
    <row r="954" spans="1:26" ht="15" x14ac:dyDescent="0.2">
      <c r="A954" s="169"/>
      <c r="B954" s="169"/>
      <c r="C954" s="169"/>
      <c r="D954" s="169"/>
      <c r="E954" s="169"/>
      <c r="F954" s="169"/>
      <c r="G954" s="169"/>
      <c r="H954" s="169"/>
      <c r="I954" s="169"/>
      <c r="J954" s="169"/>
      <c r="K954" s="169"/>
      <c r="L954" s="169"/>
      <c r="M954" s="169"/>
      <c r="N954" s="169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</row>
    <row r="955" spans="1:26" ht="15" x14ac:dyDescent="0.2">
      <c r="A955" s="169"/>
      <c r="B955" s="169"/>
      <c r="C955" s="169"/>
      <c r="D955" s="169"/>
      <c r="E955" s="169"/>
      <c r="F955" s="169"/>
      <c r="G955" s="169"/>
      <c r="H955" s="169"/>
      <c r="I955" s="169"/>
      <c r="J955" s="169"/>
      <c r="K955" s="169"/>
      <c r="L955" s="169"/>
      <c r="M955" s="169"/>
      <c r="N955" s="169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</row>
    <row r="956" spans="1:26" ht="15" x14ac:dyDescent="0.2">
      <c r="A956" s="169"/>
      <c r="B956" s="169"/>
      <c r="C956" s="169"/>
      <c r="D956" s="169"/>
      <c r="E956" s="169"/>
      <c r="F956" s="169"/>
      <c r="G956" s="169"/>
      <c r="H956" s="169"/>
      <c r="I956" s="169"/>
      <c r="J956" s="169"/>
      <c r="K956" s="169"/>
      <c r="L956" s="169"/>
      <c r="M956" s="169"/>
      <c r="N956" s="169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</row>
    <row r="957" spans="1:26" ht="15" x14ac:dyDescent="0.2">
      <c r="A957" s="169"/>
      <c r="B957" s="169"/>
      <c r="C957" s="169"/>
      <c r="D957" s="169"/>
      <c r="E957" s="169"/>
      <c r="F957" s="169"/>
      <c r="G957" s="169"/>
      <c r="H957" s="169"/>
      <c r="I957" s="169"/>
      <c r="J957" s="169"/>
      <c r="K957" s="169"/>
      <c r="L957" s="169"/>
      <c r="M957" s="169"/>
      <c r="N957" s="169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</row>
    <row r="958" spans="1:26" ht="15" x14ac:dyDescent="0.2">
      <c r="A958" s="169"/>
      <c r="B958" s="169"/>
      <c r="C958" s="169"/>
      <c r="D958" s="169"/>
      <c r="E958" s="169"/>
      <c r="F958" s="169"/>
      <c r="G958" s="169"/>
      <c r="H958" s="169"/>
      <c r="I958" s="169"/>
      <c r="J958" s="169"/>
      <c r="K958" s="169"/>
      <c r="L958" s="169"/>
      <c r="M958" s="169"/>
      <c r="N958" s="169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</row>
    <row r="959" spans="1:26" ht="15" x14ac:dyDescent="0.2">
      <c r="A959" s="169"/>
      <c r="B959" s="169"/>
      <c r="C959" s="169"/>
      <c r="D959" s="169"/>
      <c r="E959" s="169"/>
      <c r="F959" s="169"/>
      <c r="G959" s="169"/>
      <c r="H959" s="169"/>
      <c r="I959" s="169"/>
      <c r="J959" s="169"/>
      <c r="K959" s="169"/>
      <c r="L959" s="169"/>
      <c r="M959" s="169"/>
      <c r="N959" s="169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</row>
    <row r="960" spans="1:26" ht="15" x14ac:dyDescent="0.2">
      <c r="A960" s="169"/>
      <c r="B960" s="169"/>
      <c r="C960" s="169"/>
      <c r="D960" s="169"/>
      <c r="E960" s="169"/>
      <c r="F960" s="169"/>
      <c r="G960" s="169"/>
      <c r="H960" s="169"/>
      <c r="I960" s="169"/>
      <c r="J960" s="169"/>
      <c r="K960" s="169"/>
      <c r="L960" s="169"/>
      <c r="M960" s="169"/>
      <c r="N960" s="169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</row>
    <row r="961" spans="1:26" ht="15" x14ac:dyDescent="0.2">
      <c r="A961" s="169"/>
      <c r="B961" s="169"/>
      <c r="C961" s="169"/>
      <c r="D961" s="169"/>
      <c r="E961" s="169"/>
      <c r="F961" s="169"/>
      <c r="G961" s="169"/>
      <c r="H961" s="169"/>
      <c r="I961" s="169"/>
      <c r="J961" s="169"/>
      <c r="K961" s="169"/>
      <c r="L961" s="169"/>
      <c r="M961" s="169"/>
      <c r="N961" s="169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</row>
    <row r="962" spans="1:26" ht="15" x14ac:dyDescent="0.2">
      <c r="A962" s="169"/>
      <c r="B962" s="169"/>
      <c r="C962" s="169"/>
      <c r="D962" s="169"/>
      <c r="E962" s="169"/>
      <c r="F962" s="169"/>
      <c r="G962" s="169"/>
      <c r="H962" s="169"/>
      <c r="I962" s="169"/>
      <c r="J962" s="169"/>
      <c r="K962" s="169"/>
      <c r="L962" s="169"/>
      <c r="M962" s="169"/>
      <c r="N962" s="169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</row>
    <row r="963" spans="1:26" ht="15" x14ac:dyDescent="0.2">
      <c r="A963" s="169"/>
      <c r="B963" s="169"/>
      <c r="C963" s="169"/>
      <c r="D963" s="169"/>
      <c r="E963" s="169"/>
      <c r="F963" s="169"/>
      <c r="G963" s="169"/>
      <c r="H963" s="169"/>
      <c r="I963" s="169"/>
      <c r="J963" s="169"/>
      <c r="K963" s="169"/>
      <c r="L963" s="169"/>
      <c r="M963" s="169"/>
      <c r="N963" s="169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</row>
    <row r="964" spans="1:26" ht="15" x14ac:dyDescent="0.2">
      <c r="A964" s="169"/>
      <c r="B964" s="169"/>
      <c r="C964" s="169"/>
      <c r="D964" s="169"/>
      <c r="E964" s="169"/>
      <c r="F964" s="169"/>
      <c r="G964" s="169"/>
      <c r="H964" s="169"/>
      <c r="I964" s="169"/>
      <c r="J964" s="169"/>
      <c r="K964" s="169"/>
      <c r="L964" s="169"/>
      <c r="M964" s="169"/>
      <c r="N964" s="169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</row>
    <row r="965" spans="1:26" ht="15" x14ac:dyDescent="0.2">
      <c r="A965" s="169"/>
      <c r="B965" s="169"/>
      <c r="C965" s="169"/>
      <c r="D965" s="169"/>
      <c r="E965" s="169"/>
      <c r="F965" s="169"/>
      <c r="G965" s="169"/>
      <c r="H965" s="169"/>
      <c r="I965" s="169"/>
      <c r="J965" s="169"/>
      <c r="K965" s="169"/>
      <c r="L965" s="169"/>
      <c r="M965" s="169"/>
      <c r="N965" s="169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</row>
    <row r="966" spans="1:26" ht="15" x14ac:dyDescent="0.2">
      <c r="A966" s="169"/>
      <c r="B966" s="169"/>
      <c r="C966" s="169"/>
      <c r="D966" s="169"/>
      <c r="E966" s="169"/>
      <c r="F966" s="169"/>
      <c r="G966" s="169"/>
      <c r="H966" s="169"/>
      <c r="I966" s="169"/>
      <c r="J966" s="169"/>
      <c r="K966" s="169"/>
      <c r="L966" s="169"/>
      <c r="M966" s="169"/>
      <c r="N966" s="169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</row>
    <row r="967" spans="1:26" ht="15" x14ac:dyDescent="0.2">
      <c r="A967" s="169"/>
      <c r="B967" s="169"/>
      <c r="C967" s="169"/>
      <c r="D967" s="169"/>
      <c r="E967" s="169"/>
      <c r="F967" s="169"/>
      <c r="G967" s="169"/>
      <c r="H967" s="169"/>
      <c r="I967" s="169"/>
      <c r="J967" s="169"/>
      <c r="K967" s="169"/>
      <c r="L967" s="169"/>
      <c r="M967" s="169"/>
      <c r="N967" s="169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</row>
    <row r="968" spans="1:26" ht="15" x14ac:dyDescent="0.2">
      <c r="A968" s="169"/>
      <c r="B968" s="169"/>
      <c r="C968" s="169"/>
      <c r="D968" s="169"/>
      <c r="E968" s="169"/>
      <c r="F968" s="169"/>
      <c r="G968" s="169"/>
      <c r="H968" s="169"/>
      <c r="I968" s="169"/>
      <c r="J968" s="169"/>
      <c r="K968" s="169"/>
      <c r="L968" s="169"/>
      <c r="M968" s="169"/>
      <c r="N968" s="169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</row>
    <row r="969" spans="1:26" ht="15" x14ac:dyDescent="0.2">
      <c r="A969" s="169"/>
      <c r="B969" s="169"/>
      <c r="C969" s="169"/>
      <c r="D969" s="169"/>
      <c r="E969" s="169"/>
      <c r="F969" s="169"/>
      <c r="G969" s="169"/>
      <c r="H969" s="169"/>
      <c r="I969" s="169"/>
      <c r="J969" s="169"/>
      <c r="K969" s="169"/>
      <c r="L969" s="169"/>
      <c r="M969" s="169"/>
      <c r="N969" s="169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</row>
    <row r="970" spans="1:26" ht="15" x14ac:dyDescent="0.2">
      <c r="A970" s="169"/>
      <c r="B970" s="169"/>
      <c r="C970" s="169"/>
      <c r="D970" s="169"/>
      <c r="E970" s="169"/>
      <c r="F970" s="169"/>
      <c r="G970" s="169"/>
      <c r="H970" s="169"/>
      <c r="I970" s="169"/>
      <c r="J970" s="169"/>
      <c r="K970" s="169"/>
      <c r="L970" s="169"/>
      <c r="M970" s="169"/>
      <c r="N970" s="169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</row>
    <row r="971" spans="1:26" ht="15" x14ac:dyDescent="0.2">
      <c r="A971" s="169"/>
      <c r="B971" s="169"/>
      <c r="C971" s="169"/>
      <c r="D971" s="169"/>
      <c r="E971" s="169"/>
      <c r="F971" s="169"/>
      <c r="G971" s="169"/>
      <c r="H971" s="169"/>
      <c r="I971" s="169"/>
      <c r="J971" s="169"/>
      <c r="K971" s="169"/>
      <c r="L971" s="169"/>
      <c r="M971" s="169"/>
      <c r="N971" s="169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</row>
    <row r="972" spans="1:26" ht="15" x14ac:dyDescent="0.2">
      <c r="A972" s="169"/>
      <c r="B972" s="169"/>
      <c r="C972" s="169"/>
      <c r="D972" s="169"/>
      <c r="E972" s="169"/>
      <c r="F972" s="169"/>
      <c r="G972" s="169"/>
      <c r="H972" s="169"/>
      <c r="I972" s="169"/>
      <c r="J972" s="169"/>
      <c r="K972" s="169"/>
      <c r="L972" s="169"/>
      <c r="M972" s="169"/>
      <c r="N972" s="169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</row>
    <row r="973" spans="1:26" ht="15" x14ac:dyDescent="0.2">
      <c r="A973" s="169"/>
      <c r="B973" s="169"/>
      <c r="C973" s="169"/>
      <c r="D973" s="169"/>
      <c r="E973" s="169"/>
      <c r="F973" s="169"/>
      <c r="G973" s="169"/>
      <c r="H973" s="169"/>
      <c r="I973" s="169"/>
      <c r="J973" s="169"/>
      <c r="K973" s="169"/>
      <c r="L973" s="169"/>
      <c r="M973" s="169"/>
      <c r="N973" s="169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</row>
    <row r="974" spans="1:26" ht="15" x14ac:dyDescent="0.2">
      <c r="A974" s="169"/>
      <c r="B974" s="169"/>
      <c r="C974" s="169"/>
      <c r="D974" s="169"/>
      <c r="E974" s="169"/>
      <c r="F974" s="169"/>
      <c r="G974" s="169"/>
      <c r="H974" s="169"/>
      <c r="I974" s="169"/>
      <c r="J974" s="169"/>
      <c r="K974" s="169"/>
      <c r="L974" s="169"/>
      <c r="M974" s="169"/>
      <c r="N974" s="169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</row>
    <row r="975" spans="1:26" ht="15" x14ac:dyDescent="0.2">
      <c r="A975" s="169"/>
      <c r="B975" s="169"/>
      <c r="C975" s="169"/>
      <c r="D975" s="169"/>
      <c r="E975" s="169"/>
      <c r="F975" s="169"/>
      <c r="G975" s="169"/>
      <c r="H975" s="169"/>
      <c r="I975" s="169"/>
      <c r="J975" s="169"/>
      <c r="K975" s="169"/>
      <c r="L975" s="169"/>
      <c r="M975" s="169"/>
      <c r="N975" s="169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</row>
    <row r="976" spans="1:26" ht="15" x14ac:dyDescent="0.2">
      <c r="A976" s="169"/>
      <c r="B976" s="169"/>
      <c r="C976" s="169"/>
      <c r="D976" s="169"/>
      <c r="E976" s="169"/>
      <c r="F976" s="169"/>
      <c r="G976" s="169"/>
      <c r="H976" s="169"/>
      <c r="I976" s="169"/>
      <c r="J976" s="169"/>
      <c r="K976" s="169"/>
      <c r="L976" s="169"/>
      <c r="M976" s="169"/>
      <c r="N976" s="169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</row>
    <row r="977" spans="1:26" ht="15" x14ac:dyDescent="0.2">
      <c r="A977" s="169"/>
      <c r="B977" s="169"/>
      <c r="C977" s="169"/>
      <c r="D977" s="169"/>
      <c r="E977" s="169"/>
      <c r="F977" s="169"/>
      <c r="G977" s="169"/>
      <c r="H977" s="169"/>
      <c r="I977" s="169"/>
      <c r="J977" s="169"/>
      <c r="K977" s="169"/>
      <c r="L977" s="169"/>
      <c r="M977" s="169"/>
      <c r="N977" s="169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</row>
    <row r="978" spans="1:26" ht="15" x14ac:dyDescent="0.2">
      <c r="A978" s="169"/>
      <c r="B978" s="169"/>
      <c r="C978" s="169"/>
      <c r="D978" s="169"/>
      <c r="E978" s="169"/>
      <c r="F978" s="169"/>
      <c r="G978" s="169"/>
      <c r="H978" s="169"/>
      <c r="I978" s="169"/>
      <c r="J978" s="169"/>
      <c r="K978" s="169"/>
      <c r="L978" s="169"/>
      <c r="M978" s="169"/>
      <c r="N978" s="169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</row>
    <row r="979" spans="1:26" ht="15" x14ac:dyDescent="0.2">
      <c r="A979" s="169"/>
      <c r="B979" s="169"/>
      <c r="C979" s="169"/>
      <c r="D979" s="169"/>
      <c r="E979" s="169"/>
      <c r="F979" s="169"/>
      <c r="G979" s="169"/>
      <c r="H979" s="169"/>
      <c r="I979" s="169"/>
      <c r="J979" s="169"/>
      <c r="K979" s="169"/>
      <c r="L979" s="169"/>
      <c r="M979" s="169"/>
      <c r="N979" s="169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</row>
    <row r="980" spans="1:26" ht="15" x14ac:dyDescent="0.2">
      <c r="A980" s="169"/>
      <c r="B980" s="169"/>
      <c r="C980" s="169"/>
      <c r="D980" s="169"/>
      <c r="E980" s="169"/>
      <c r="F980" s="169"/>
      <c r="G980" s="169"/>
      <c r="H980" s="169"/>
      <c r="I980" s="169"/>
      <c r="J980" s="169"/>
      <c r="K980" s="169"/>
      <c r="L980" s="169"/>
      <c r="M980" s="169"/>
      <c r="N980" s="169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</row>
    <row r="981" spans="1:26" ht="15" x14ac:dyDescent="0.2">
      <c r="A981" s="169"/>
      <c r="B981" s="169"/>
      <c r="C981" s="169"/>
      <c r="D981" s="169"/>
      <c r="E981" s="169"/>
      <c r="F981" s="169"/>
      <c r="G981" s="169"/>
      <c r="H981" s="169"/>
      <c r="I981" s="169"/>
      <c r="J981" s="169"/>
      <c r="K981" s="169"/>
      <c r="L981" s="169"/>
      <c r="M981" s="169"/>
      <c r="N981" s="169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</row>
    <row r="982" spans="1:26" ht="15" x14ac:dyDescent="0.2">
      <c r="A982" s="169"/>
      <c r="B982" s="169"/>
      <c r="C982" s="169"/>
      <c r="D982" s="169"/>
      <c r="E982" s="169"/>
      <c r="F982" s="169"/>
      <c r="G982" s="169"/>
      <c r="H982" s="169"/>
      <c r="I982" s="169"/>
      <c r="J982" s="169"/>
      <c r="K982" s="169"/>
      <c r="L982" s="169"/>
      <c r="M982" s="169"/>
      <c r="N982" s="169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</row>
    <row r="983" spans="1:26" ht="15" x14ac:dyDescent="0.2">
      <c r="A983" s="169"/>
      <c r="B983" s="169"/>
      <c r="C983" s="169"/>
      <c r="D983" s="169"/>
      <c r="E983" s="169"/>
      <c r="F983" s="169"/>
      <c r="G983" s="169"/>
      <c r="H983" s="169"/>
      <c r="I983" s="169"/>
      <c r="J983" s="169"/>
      <c r="K983" s="169"/>
      <c r="L983" s="169"/>
      <c r="M983" s="169"/>
      <c r="N983" s="169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</row>
    <row r="984" spans="1:26" ht="15" x14ac:dyDescent="0.2">
      <c r="A984" s="169"/>
      <c r="B984" s="169"/>
      <c r="C984" s="169"/>
      <c r="D984" s="169"/>
      <c r="E984" s="169"/>
      <c r="F984" s="169"/>
      <c r="G984" s="169"/>
      <c r="H984" s="169"/>
      <c r="I984" s="169"/>
      <c r="J984" s="169"/>
      <c r="K984" s="169"/>
      <c r="L984" s="169"/>
      <c r="M984" s="169"/>
      <c r="N984" s="169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</row>
    <row r="985" spans="1:26" ht="15" x14ac:dyDescent="0.2">
      <c r="A985" s="169"/>
      <c r="B985" s="169"/>
      <c r="C985" s="169"/>
      <c r="D985" s="169"/>
      <c r="E985" s="169"/>
      <c r="F985" s="169"/>
      <c r="G985" s="169"/>
      <c r="H985" s="169"/>
      <c r="I985" s="169"/>
      <c r="J985" s="169"/>
      <c r="K985" s="169"/>
      <c r="L985" s="169"/>
      <c r="M985" s="169"/>
      <c r="N985" s="169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</row>
    <row r="986" spans="1:26" ht="15" x14ac:dyDescent="0.2">
      <c r="A986" s="169"/>
      <c r="B986" s="169"/>
      <c r="C986" s="169"/>
      <c r="D986" s="169"/>
      <c r="E986" s="169"/>
      <c r="F986" s="169"/>
      <c r="G986" s="169"/>
      <c r="H986" s="169"/>
      <c r="I986" s="169"/>
      <c r="J986" s="169"/>
      <c r="K986" s="169"/>
      <c r="L986" s="169"/>
      <c r="M986" s="169"/>
      <c r="N986" s="169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</row>
    <row r="987" spans="1:26" ht="15" x14ac:dyDescent="0.2">
      <c r="A987" s="169"/>
      <c r="B987" s="169"/>
      <c r="C987" s="169"/>
      <c r="D987" s="169"/>
      <c r="E987" s="169"/>
      <c r="F987" s="169"/>
      <c r="G987" s="169"/>
      <c r="H987" s="169"/>
      <c r="I987" s="169"/>
      <c r="J987" s="169"/>
      <c r="K987" s="169"/>
      <c r="L987" s="169"/>
      <c r="M987" s="169"/>
      <c r="N987" s="169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</row>
    <row r="988" spans="1:26" ht="15" x14ac:dyDescent="0.2">
      <c r="A988" s="169"/>
      <c r="B988" s="169"/>
      <c r="C988" s="169"/>
      <c r="D988" s="169"/>
      <c r="E988" s="169"/>
      <c r="F988" s="169"/>
      <c r="G988" s="169"/>
      <c r="H988" s="169"/>
      <c r="I988" s="169"/>
      <c r="J988" s="169"/>
      <c r="K988" s="169"/>
      <c r="L988" s="169"/>
      <c r="M988" s="169"/>
      <c r="N988" s="169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</row>
    <row r="989" spans="1:26" ht="15" x14ac:dyDescent="0.2">
      <c r="A989" s="169"/>
      <c r="B989" s="169"/>
      <c r="C989" s="169"/>
      <c r="D989" s="169"/>
      <c r="E989" s="169"/>
      <c r="F989" s="169"/>
      <c r="G989" s="169"/>
      <c r="H989" s="169"/>
      <c r="I989" s="169"/>
      <c r="J989" s="169"/>
      <c r="K989" s="169"/>
      <c r="L989" s="169"/>
      <c r="M989" s="169"/>
      <c r="N989" s="169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</row>
    <row r="990" spans="1:26" ht="15" x14ac:dyDescent="0.2">
      <c r="A990" s="169"/>
      <c r="B990" s="169"/>
      <c r="C990" s="169"/>
      <c r="D990" s="169"/>
      <c r="E990" s="169"/>
      <c r="F990" s="169"/>
      <c r="G990" s="169"/>
      <c r="H990" s="169"/>
      <c r="I990" s="169"/>
      <c r="J990" s="169"/>
      <c r="K990" s="169"/>
      <c r="L990" s="169"/>
      <c r="M990" s="169"/>
      <c r="N990" s="169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</row>
    <row r="991" spans="1:26" ht="15" x14ac:dyDescent="0.2">
      <c r="A991" s="169"/>
      <c r="B991" s="169"/>
      <c r="C991" s="169"/>
      <c r="D991" s="169"/>
      <c r="E991" s="169"/>
      <c r="F991" s="169"/>
      <c r="G991" s="169"/>
      <c r="H991" s="169"/>
      <c r="I991" s="169"/>
      <c r="J991" s="169"/>
      <c r="K991" s="169"/>
      <c r="L991" s="169"/>
      <c r="M991" s="169"/>
      <c r="N991" s="169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</row>
    <row r="992" spans="1:26" ht="15" x14ac:dyDescent="0.2">
      <c r="A992" s="169"/>
      <c r="B992" s="169"/>
      <c r="C992" s="169"/>
      <c r="D992" s="169"/>
      <c r="E992" s="169"/>
      <c r="F992" s="169"/>
      <c r="G992" s="169"/>
      <c r="H992" s="169"/>
      <c r="I992" s="169"/>
      <c r="J992" s="169"/>
      <c r="K992" s="169"/>
      <c r="L992" s="169"/>
      <c r="M992" s="169"/>
      <c r="N992" s="169"/>
      <c r="O992" s="169"/>
      <c r="P992" s="169"/>
      <c r="Q992" s="169"/>
      <c r="R992" s="169"/>
      <c r="S992" s="169"/>
      <c r="T992" s="169"/>
      <c r="U992" s="169"/>
      <c r="V992" s="169"/>
      <c r="W992" s="169"/>
      <c r="X992" s="169"/>
      <c r="Y992" s="169"/>
      <c r="Z992" s="169"/>
    </row>
    <row r="993" spans="1:26" ht="15" x14ac:dyDescent="0.2">
      <c r="A993" s="169"/>
      <c r="B993" s="169"/>
      <c r="C993" s="169"/>
      <c r="D993" s="169"/>
      <c r="E993" s="169"/>
      <c r="F993" s="169"/>
      <c r="G993" s="169"/>
      <c r="H993" s="169"/>
      <c r="I993" s="169"/>
      <c r="J993" s="169"/>
      <c r="K993" s="169"/>
      <c r="L993" s="169"/>
      <c r="M993" s="169"/>
      <c r="N993" s="169"/>
      <c r="O993" s="169"/>
      <c r="P993" s="169"/>
      <c r="Q993" s="169"/>
      <c r="R993" s="169"/>
      <c r="S993" s="169"/>
      <c r="T993" s="169"/>
      <c r="U993" s="169"/>
      <c r="V993" s="169"/>
      <c r="W993" s="169"/>
      <c r="X993" s="169"/>
      <c r="Y993" s="169"/>
      <c r="Z993" s="169"/>
    </row>
    <row r="994" spans="1:26" ht="15" x14ac:dyDescent="0.2">
      <c r="A994" s="169"/>
      <c r="B994" s="169"/>
      <c r="C994" s="169"/>
      <c r="D994" s="169"/>
      <c r="E994" s="169"/>
      <c r="F994" s="169"/>
      <c r="G994" s="169"/>
      <c r="H994" s="169"/>
      <c r="I994" s="169"/>
      <c r="J994" s="169"/>
      <c r="K994" s="169"/>
      <c r="L994" s="169"/>
      <c r="M994" s="169"/>
      <c r="N994" s="169"/>
      <c r="O994" s="169"/>
      <c r="P994" s="169"/>
      <c r="Q994" s="169"/>
      <c r="R994" s="169"/>
      <c r="S994" s="169"/>
      <c r="T994" s="169"/>
      <c r="U994" s="169"/>
      <c r="V994" s="169"/>
      <c r="W994" s="169"/>
      <c r="X994" s="169"/>
      <c r="Y994" s="169"/>
      <c r="Z994" s="169"/>
    </row>
    <row r="995" spans="1:26" ht="15" x14ac:dyDescent="0.2">
      <c r="A995" s="169"/>
      <c r="B995" s="169"/>
      <c r="C995" s="169"/>
      <c r="D995" s="169"/>
      <c r="E995" s="169"/>
      <c r="F995" s="169"/>
      <c r="G995" s="169"/>
      <c r="H995" s="169"/>
      <c r="I995" s="169"/>
      <c r="J995" s="169"/>
      <c r="K995" s="169"/>
      <c r="L995" s="169"/>
      <c r="M995" s="169"/>
      <c r="N995" s="169"/>
      <c r="O995" s="169"/>
      <c r="P995" s="169"/>
      <c r="Q995" s="169"/>
      <c r="R995" s="169"/>
      <c r="S995" s="169"/>
      <c r="T995" s="169"/>
      <c r="U995" s="169"/>
      <c r="V995" s="169"/>
      <c r="W995" s="169"/>
      <c r="X995" s="169"/>
      <c r="Y995" s="169"/>
      <c r="Z995" s="169"/>
    </row>
    <row r="996" spans="1:26" ht="15" x14ac:dyDescent="0.2">
      <c r="A996" s="169"/>
      <c r="B996" s="169"/>
      <c r="C996" s="169"/>
      <c r="D996" s="169"/>
      <c r="E996" s="169"/>
      <c r="F996" s="169"/>
      <c r="G996" s="169"/>
      <c r="H996" s="169"/>
      <c r="I996" s="169"/>
      <c r="J996" s="169"/>
      <c r="K996" s="169"/>
      <c r="L996" s="169"/>
      <c r="M996" s="169"/>
      <c r="N996" s="169"/>
      <c r="O996" s="169"/>
      <c r="P996" s="169"/>
      <c r="Q996" s="169"/>
      <c r="R996" s="169"/>
      <c r="S996" s="169"/>
      <c r="T996" s="169"/>
      <c r="U996" s="169"/>
      <c r="V996" s="169"/>
      <c r="W996" s="169"/>
      <c r="X996" s="169"/>
      <c r="Y996" s="169"/>
      <c r="Z996" s="169"/>
    </row>
    <row r="997" spans="1:26" ht="15" x14ac:dyDescent="0.2">
      <c r="A997" s="169"/>
      <c r="B997" s="169"/>
      <c r="C997" s="169"/>
      <c r="D997" s="169"/>
      <c r="E997" s="169"/>
      <c r="F997" s="169"/>
      <c r="G997" s="169"/>
      <c r="H997" s="169"/>
      <c r="I997" s="169"/>
      <c r="J997" s="169"/>
      <c r="K997" s="169"/>
      <c r="L997" s="169"/>
      <c r="M997" s="169"/>
      <c r="N997" s="169"/>
      <c r="O997" s="169"/>
      <c r="P997" s="169"/>
      <c r="Q997" s="169"/>
      <c r="R997" s="169"/>
      <c r="S997" s="169"/>
      <c r="T997" s="169"/>
      <c r="U997" s="169"/>
      <c r="V997" s="169"/>
      <c r="W997" s="169"/>
      <c r="X997" s="169"/>
      <c r="Y997" s="169"/>
      <c r="Z997" s="169"/>
    </row>
    <row r="998" spans="1:26" ht="15" x14ac:dyDescent="0.2">
      <c r="A998" s="169"/>
      <c r="B998" s="169"/>
      <c r="C998" s="169"/>
      <c r="D998" s="169"/>
      <c r="E998" s="169"/>
      <c r="F998" s="169"/>
      <c r="G998" s="169"/>
      <c r="H998" s="169"/>
      <c r="I998" s="169"/>
      <c r="J998" s="169"/>
      <c r="K998" s="169"/>
      <c r="L998" s="169"/>
      <c r="M998" s="169"/>
      <c r="N998" s="169"/>
      <c r="O998" s="169"/>
      <c r="P998" s="169"/>
      <c r="Q998" s="169"/>
      <c r="R998" s="169"/>
      <c r="S998" s="169"/>
      <c r="T998" s="169"/>
      <c r="U998" s="169"/>
      <c r="V998" s="169"/>
      <c r="W998" s="169"/>
      <c r="X998" s="169"/>
      <c r="Y998" s="169"/>
      <c r="Z998" s="169"/>
    </row>
    <row r="999" spans="1:26" ht="15" x14ac:dyDescent="0.2">
      <c r="A999" s="169"/>
      <c r="B999" s="169"/>
      <c r="C999" s="169"/>
      <c r="D999" s="169"/>
      <c r="E999" s="169"/>
      <c r="F999" s="169"/>
      <c r="G999" s="169"/>
      <c r="H999" s="169"/>
      <c r="I999" s="169"/>
      <c r="J999" s="169"/>
      <c r="K999" s="169"/>
      <c r="L999" s="169"/>
      <c r="M999" s="169"/>
      <c r="N999" s="169"/>
      <c r="O999" s="169"/>
      <c r="P999" s="169"/>
      <c r="Q999" s="169"/>
      <c r="R999" s="169"/>
      <c r="S999" s="169"/>
      <c r="T999" s="169"/>
      <c r="U999" s="169"/>
      <c r="V999" s="169"/>
      <c r="W999" s="169"/>
      <c r="X999" s="169"/>
      <c r="Y999" s="169"/>
      <c r="Z999" s="169"/>
    </row>
  </sheetData>
  <dataValidations count="2">
    <dataValidation type="list" allowBlank="1" showErrorMessage="1" sqref="C2:C7" xr:uid="{00000000-0002-0000-0300-000001000000}">
      <formula1>"Желательный,Стандартный,Критический,Блокирующий"</formula1>
    </dataValidation>
    <dataValidation type="list" allowBlank="1" showErrorMessage="1" sqref="D2:D7" xr:uid="{00000000-0002-0000-0300-000000000000}">
      <formula1>"Открыт,Закрыт,Готов для тестирования,Переоткрыт,Заблокирован"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tabSelected="1" topLeftCell="E1" workbookViewId="0">
      <pane ySplit="1" topLeftCell="A37" activePane="bottomLeft" state="frozen"/>
      <selection pane="bottomLeft" activeCell="L41" sqref="L41"/>
    </sheetView>
  </sheetViews>
  <sheetFormatPr baseColWidth="10" defaultColWidth="12.796875" defaultRowHeight="15.75" customHeight="1" x14ac:dyDescent="0.2"/>
  <cols>
    <col min="1" max="1" width="8.796875" customWidth="1"/>
    <col min="2" max="2" width="42.796875" customWidth="1"/>
    <col min="3" max="3" width="17.796875" customWidth="1"/>
    <col min="4" max="4" width="19.19921875" customWidth="1"/>
    <col min="5" max="5" width="31.796875" customWidth="1"/>
    <col min="6" max="6" width="51" customWidth="1"/>
    <col min="7" max="7" width="25.19921875" customWidth="1"/>
    <col min="8" max="8" width="43.796875" customWidth="1"/>
    <col min="9" max="9" width="57" customWidth="1"/>
    <col min="10" max="26" width="7.796875" customWidth="1"/>
  </cols>
  <sheetData>
    <row r="1" spans="1:26" ht="30" x14ac:dyDescent="0.2">
      <c r="A1" s="74" t="s">
        <v>346</v>
      </c>
      <c r="B1" s="74" t="s">
        <v>347</v>
      </c>
      <c r="C1" s="74" t="s">
        <v>348</v>
      </c>
      <c r="D1" s="74" t="s">
        <v>129</v>
      </c>
      <c r="E1" s="74" t="s">
        <v>349</v>
      </c>
      <c r="F1" s="74" t="s">
        <v>350</v>
      </c>
      <c r="G1" s="74" t="s">
        <v>351</v>
      </c>
      <c r="H1" s="74" t="s">
        <v>352</v>
      </c>
      <c r="I1" s="74" t="s">
        <v>353</v>
      </c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spans="1:26" ht="45" x14ac:dyDescent="0.2">
      <c r="A2" s="17" t="s">
        <v>21</v>
      </c>
      <c r="B2" s="17" t="s">
        <v>354</v>
      </c>
      <c r="C2" s="76" t="s">
        <v>355</v>
      </c>
      <c r="D2" s="7" t="s">
        <v>356</v>
      </c>
      <c r="E2" s="17" t="s">
        <v>357</v>
      </c>
      <c r="F2" s="17" t="s">
        <v>358</v>
      </c>
      <c r="G2" s="17" t="s">
        <v>359</v>
      </c>
      <c r="H2" s="17" t="s">
        <v>360</v>
      </c>
      <c r="I2" s="1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ht="45" x14ac:dyDescent="0.2">
      <c r="A3" s="17" t="s">
        <v>23</v>
      </c>
      <c r="B3" s="17" t="s">
        <v>361</v>
      </c>
      <c r="C3" s="76" t="s">
        <v>355</v>
      </c>
      <c r="D3" s="7" t="s">
        <v>356</v>
      </c>
      <c r="E3" s="17" t="s">
        <v>357</v>
      </c>
      <c r="F3" s="17" t="s">
        <v>358</v>
      </c>
      <c r="G3" s="17" t="s">
        <v>362</v>
      </c>
      <c r="H3" s="17" t="s">
        <v>363</v>
      </c>
      <c r="I3" s="1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spans="1:26" ht="45" x14ac:dyDescent="0.2">
      <c r="A4" s="17" t="s">
        <v>27</v>
      </c>
      <c r="B4" s="17" t="s">
        <v>364</v>
      </c>
      <c r="C4" s="76" t="s">
        <v>365</v>
      </c>
      <c r="D4" s="7" t="s">
        <v>356</v>
      </c>
      <c r="E4" s="17" t="s">
        <v>357</v>
      </c>
      <c r="F4" s="17" t="s">
        <v>366</v>
      </c>
      <c r="G4" s="17" t="s">
        <v>367</v>
      </c>
      <c r="H4" s="17" t="s">
        <v>368</v>
      </c>
      <c r="I4" s="1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spans="1:26" ht="60" x14ac:dyDescent="0.2">
      <c r="A5" s="17" t="s">
        <v>29</v>
      </c>
      <c r="B5" s="17" t="s">
        <v>369</v>
      </c>
      <c r="C5" s="76" t="s">
        <v>365</v>
      </c>
      <c r="D5" s="7" t="s">
        <v>356</v>
      </c>
      <c r="E5" s="17" t="s">
        <v>357</v>
      </c>
      <c r="F5" s="17" t="s">
        <v>370</v>
      </c>
      <c r="G5" s="17" t="s">
        <v>367</v>
      </c>
      <c r="H5" s="17" t="s">
        <v>368</v>
      </c>
      <c r="I5" s="1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spans="1:26" ht="186" customHeight="1" x14ac:dyDescent="0.2">
      <c r="A6" s="120" t="s">
        <v>43</v>
      </c>
      <c r="B6" s="120" t="s">
        <v>371</v>
      </c>
      <c r="C6" s="121" t="s">
        <v>355</v>
      </c>
      <c r="D6" s="99" t="s">
        <v>356</v>
      </c>
      <c r="E6" s="120" t="s">
        <v>357</v>
      </c>
      <c r="F6" s="120" t="s">
        <v>372</v>
      </c>
      <c r="G6" s="120" t="s">
        <v>373</v>
      </c>
      <c r="H6" s="120" t="s">
        <v>374</v>
      </c>
      <c r="I6" s="120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spans="1:26" ht="370" x14ac:dyDescent="0.2">
      <c r="A7" s="17" t="s">
        <v>48</v>
      </c>
      <c r="B7" s="17" t="s">
        <v>375</v>
      </c>
      <c r="C7" s="76" t="s">
        <v>355</v>
      </c>
      <c r="D7" s="7" t="s">
        <v>356</v>
      </c>
      <c r="E7" s="17" t="s">
        <v>376</v>
      </c>
      <c r="F7" s="17" t="s">
        <v>377</v>
      </c>
      <c r="G7" s="17" t="s">
        <v>378</v>
      </c>
      <c r="H7" s="78" t="s">
        <v>379</v>
      </c>
      <c r="I7" s="1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spans="1:26" ht="270" x14ac:dyDescent="0.2">
      <c r="A8" s="17" t="s">
        <v>380</v>
      </c>
      <c r="B8" s="17" t="s">
        <v>381</v>
      </c>
      <c r="C8" s="76" t="s">
        <v>382</v>
      </c>
      <c r="D8" s="7" t="s">
        <v>356</v>
      </c>
      <c r="E8" s="17" t="s">
        <v>376</v>
      </c>
      <c r="F8" s="17" t="s">
        <v>383</v>
      </c>
      <c r="G8" s="17" t="s">
        <v>384</v>
      </c>
      <c r="H8" s="17" t="s">
        <v>385</v>
      </c>
      <c r="I8" s="1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spans="1:26" ht="60" x14ac:dyDescent="0.2">
      <c r="A9" s="17" t="s">
        <v>65</v>
      </c>
      <c r="B9" s="17" t="s">
        <v>386</v>
      </c>
      <c r="C9" s="76" t="s">
        <v>355</v>
      </c>
      <c r="D9" s="7" t="s">
        <v>356</v>
      </c>
      <c r="E9" s="17" t="s">
        <v>376</v>
      </c>
      <c r="F9" s="17" t="s">
        <v>387</v>
      </c>
      <c r="G9" s="17" t="s">
        <v>388</v>
      </c>
      <c r="H9" s="17" t="s">
        <v>389</v>
      </c>
      <c r="I9" s="1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spans="1:26" ht="90" x14ac:dyDescent="0.2">
      <c r="A10" s="120" t="s">
        <v>75</v>
      </c>
      <c r="B10" s="120" t="s">
        <v>390</v>
      </c>
      <c r="C10" s="121" t="s">
        <v>365</v>
      </c>
      <c r="D10" s="99" t="s">
        <v>356</v>
      </c>
      <c r="E10" s="120" t="s">
        <v>391</v>
      </c>
      <c r="F10" s="120" t="s">
        <v>392</v>
      </c>
      <c r="G10" s="120" t="s">
        <v>393</v>
      </c>
      <c r="H10" s="120" t="s">
        <v>394</v>
      </c>
      <c r="I10" s="120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spans="1:26" ht="105" x14ac:dyDescent="0.2">
      <c r="A11" s="17" t="s">
        <v>95</v>
      </c>
      <c r="B11" s="17" t="s">
        <v>395</v>
      </c>
      <c r="C11" s="76" t="s">
        <v>365</v>
      </c>
      <c r="D11" s="7" t="s">
        <v>356</v>
      </c>
      <c r="E11" s="17" t="s">
        <v>376</v>
      </c>
      <c r="F11" s="17" t="s">
        <v>396</v>
      </c>
      <c r="G11" s="17" t="s">
        <v>397</v>
      </c>
      <c r="H11" s="17" t="s">
        <v>398</v>
      </c>
      <c r="I11" s="1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spans="1:26" ht="111.75" customHeight="1" x14ac:dyDescent="0.2">
      <c r="A12" s="17" t="s">
        <v>116</v>
      </c>
      <c r="B12" s="17" t="s">
        <v>399</v>
      </c>
      <c r="C12" s="76" t="s">
        <v>355</v>
      </c>
      <c r="D12" s="7" t="s">
        <v>356</v>
      </c>
      <c r="E12" s="17" t="s">
        <v>357</v>
      </c>
      <c r="F12" s="17" t="s">
        <v>400</v>
      </c>
      <c r="G12" s="17" t="s">
        <v>401</v>
      </c>
      <c r="H12" s="17" t="s">
        <v>402</v>
      </c>
      <c r="I12" s="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spans="1:26" ht="60" x14ac:dyDescent="0.2">
      <c r="A13" s="17" t="s">
        <v>25</v>
      </c>
      <c r="B13" s="17" t="s">
        <v>403</v>
      </c>
      <c r="C13" s="76" t="s">
        <v>365</v>
      </c>
      <c r="D13" s="7" t="s">
        <v>356</v>
      </c>
      <c r="E13" s="17" t="s">
        <v>357</v>
      </c>
      <c r="F13" s="17" t="s">
        <v>404</v>
      </c>
      <c r="G13" s="17" t="s">
        <v>405</v>
      </c>
      <c r="H13" s="17" t="s">
        <v>368</v>
      </c>
      <c r="I13" s="1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spans="1:26" ht="60" x14ac:dyDescent="0.2">
      <c r="A14" s="17" t="s">
        <v>36</v>
      </c>
      <c r="B14" s="17" t="s">
        <v>406</v>
      </c>
      <c r="C14" s="76" t="s">
        <v>365</v>
      </c>
      <c r="D14" s="7" t="s">
        <v>356</v>
      </c>
      <c r="E14" s="17" t="s">
        <v>357</v>
      </c>
      <c r="F14" s="17" t="s">
        <v>407</v>
      </c>
      <c r="G14" s="17" t="s">
        <v>367</v>
      </c>
      <c r="H14" s="17" t="s">
        <v>368</v>
      </c>
      <c r="I14" s="1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spans="1:26" ht="75" x14ac:dyDescent="0.2">
      <c r="A15" s="17" t="s">
        <v>37</v>
      </c>
      <c r="B15" s="17" t="s">
        <v>408</v>
      </c>
      <c r="C15" s="76" t="s">
        <v>365</v>
      </c>
      <c r="D15" s="7" t="s">
        <v>356</v>
      </c>
      <c r="E15" s="17" t="s">
        <v>357</v>
      </c>
      <c r="F15" s="17" t="s">
        <v>409</v>
      </c>
      <c r="G15" s="17" t="s">
        <v>367</v>
      </c>
      <c r="H15" s="17" t="s">
        <v>368</v>
      </c>
      <c r="I15" s="1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spans="1:26" ht="75" x14ac:dyDescent="0.2">
      <c r="A16" s="17" t="s">
        <v>38</v>
      </c>
      <c r="B16" s="17" t="s">
        <v>410</v>
      </c>
      <c r="C16" s="76" t="s">
        <v>365</v>
      </c>
      <c r="D16" s="7" t="s">
        <v>356</v>
      </c>
      <c r="E16" s="17" t="s">
        <v>357</v>
      </c>
      <c r="F16" s="17" t="s">
        <v>411</v>
      </c>
      <c r="G16" s="17" t="s">
        <v>405</v>
      </c>
      <c r="H16" s="17" t="s">
        <v>368</v>
      </c>
      <c r="I16" s="1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spans="1:26" ht="219" customHeight="1" x14ac:dyDescent="0.2">
      <c r="A17" s="17" t="s">
        <v>55</v>
      </c>
      <c r="B17" s="17" t="s">
        <v>412</v>
      </c>
      <c r="C17" s="76" t="s">
        <v>355</v>
      </c>
      <c r="D17" s="7" t="s">
        <v>356</v>
      </c>
      <c r="E17" s="17" t="s">
        <v>357</v>
      </c>
      <c r="F17" s="17" t="s">
        <v>411</v>
      </c>
      <c r="G17" s="17" t="s">
        <v>413</v>
      </c>
      <c r="H17" s="17" t="s">
        <v>414</v>
      </c>
      <c r="I17" s="1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spans="1:26" ht="75" x14ac:dyDescent="0.2">
      <c r="A18" s="120" t="s">
        <v>109</v>
      </c>
      <c r="B18" s="120" t="s">
        <v>415</v>
      </c>
      <c r="C18" s="121" t="s">
        <v>382</v>
      </c>
      <c r="D18" s="99" t="s">
        <v>356</v>
      </c>
      <c r="E18" s="120" t="s">
        <v>357</v>
      </c>
      <c r="F18" s="120" t="s">
        <v>416</v>
      </c>
      <c r="G18" s="120" t="s">
        <v>367</v>
      </c>
      <c r="H18" s="120" t="s">
        <v>417</v>
      </c>
      <c r="I18" s="99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spans="1:26" ht="157.5" customHeight="1" x14ac:dyDescent="0.2">
      <c r="A19" s="17" t="s">
        <v>112</v>
      </c>
      <c r="B19" s="17" t="s">
        <v>418</v>
      </c>
      <c r="C19" s="76" t="s">
        <v>365</v>
      </c>
      <c r="D19" s="7" t="s">
        <v>356</v>
      </c>
      <c r="E19" s="17" t="s">
        <v>357</v>
      </c>
      <c r="F19" s="17" t="s">
        <v>400</v>
      </c>
      <c r="G19" s="17" t="s">
        <v>419</v>
      </c>
      <c r="H19" s="17" t="s">
        <v>420</v>
      </c>
      <c r="I19" s="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spans="1:26" ht="277.5" customHeight="1" x14ac:dyDescent="0.2">
      <c r="A20" s="120" t="s">
        <v>421</v>
      </c>
      <c r="B20" s="120" t="s">
        <v>422</v>
      </c>
      <c r="C20" s="121" t="s">
        <v>365</v>
      </c>
      <c r="D20" s="99" t="s">
        <v>356</v>
      </c>
      <c r="E20" s="120" t="s">
        <v>376</v>
      </c>
      <c r="F20" s="120" t="s">
        <v>423</v>
      </c>
      <c r="G20" s="120" t="s">
        <v>424</v>
      </c>
      <c r="H20" s="120" t="s">
        <v>425</v>
      </c>
      <c r="I20" s="120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spans="1:26" ht="314" x14ac:dyDescent="0.2">
      <c r="A21" s="120" t="s">
        <v>85</v>
      </c>
      <c r="B21" s="122" t="s">
        <v>84</v>
      </c>
      <c r="C21" s="121" t="s">
        <v>355</v>
      </c>
      <c r="D21" s="99" t="s">
        <v>356</v>
      </c>
      <c r="E21" s="120" t="s">
        <v>376</v>
      </c>
      <c r="F21" s="120" t="s">
        <v>426</v>
      </c>
      <c r="G21" s="120" t="s">
        <v>427</v>
      </c>
      <c r="H21" s="120" t="s">
        <v>428</v>
      </c>
      <c r="I21" s="120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spans="1:26" ht="314" x14ac:dyDescent="0.2">
      <c r="A22" s="120" t="s">
        <v>89</v>
      </c>
      <c r="B22" s="122" t="s">
        <v>88</v>
      </c>
      <c r="C22" s="121" t="s">
        <v>355</v>
      </c>
      <c r="D22" s="99" t="s">
        <v>356</v>
      </c>
      <c r="E22" s="120" t="s">
        <v>376</v>
      </c>
      <c r="F22" s="120" t="s">
        <v>426</v>
      </c>
      <c r="G22" s="120" t="s">
        <v>429</v>
      </c>
      <c r="H22" s="120" t="s">
        <v>430</v>
      </c>
      <c r="I22" s="120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spans="1:26" ht="174.75" customHeight="1" x14ac:dyDescent="0.2">
      <c r="A23" s="120" t="s">
        <v>431</v>
      </c>
      <c r="B23" s="122" t="s">
        <v>432</v>
      </c>
      <c r="C23" s="121" t="s">
        <v>355</v>
      </c>
      <c r="D23" s="99" t="s">
        <v>356</v>
      </c>
      <c r="E23" s="120" t="s">
        <v>357</v>
      </c>
      <c r="F23" s="120" t="s">
        <v>433</v>
      </c>
      <c r="G23" s="120" t="s">
        <v>434</v>
      </c>
      <c r="H23" s="120" t="s">
        <v>435</v>
      </c>
      <c r="I23" s="120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spans="1:26" ht="15" x14ac:dyDescent="0.2">
      <c r="A24" s="35"/>
      <c r="B24" s="35"/>
      <c r="C24" s="79"/>
      <c r="D24" s="35"/>
      <c r="E24" s="35"/>
      <c r="F24" s="35"/>
      <c r="G24" s="35"/>
      <c r="H24" s="35"/>
      <c r="I24" s="35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x14ac:dyDescent="0.2">
      <c r="A25" s="35"/>
      <c r="B25" s="35"/>
      <c r="C25" s="79"/>
      <c r="D25" s="35"/>
      <c r="E25" s="35"/>
      <c r="F25" s="35"/>
      <c r="G25" s="35"/>
      <c r="H25" s="35"/>
      <c r="I25" s="35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60" x14ac:dyDescent="0.2">
      <c r="A26" s="120" t="s">
        <v>436</v>
      </c>
      <c r="B26" s="120" t="s">
        <v>437</v>
      </c>
      <c r="C26" s="121" t="s">
        <v>365</v>
      </c>
      <c r="D26" s="99" t="s">
        <v>356</v>
      </c>
      <c r="E26" s="120" t="s">
        <v>357</v>
      </c>
      <c r="F26" s="120" t="s">
        <v>438</v>
      </c>
      <c r="G26" s="120" t="s">
        <v>439</v>
      </c>
      <c r="H26" s="120" t="s">
        <v>440</v>
      </c>
      <c r="I26" s="120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spans="1:26" ht="60" x14ac:dyDescent="0.2">
      <c r="A27" s="123" t="s">
        <v>185</v>
      </c>
      <c r="B27" s="123" t="s">
        <v>441</v>
      </c>
      <c r="C27" s="124" t="s">
        <v>365</v>
      </c>
      <c r="D27" s="106" t="s">
        <v>356</v>
      </c>
      <c r="E27" s="123" t="s">
        <v>357</v>
      </c>
      <c r="F27" s="123" t="s">
        <v>442</v>
      </c>
      <c r="G27" s="123" t="s">
        <v>443</v>
      </c>
      <c r="H27" s="123" t="s">
        <v>440</v>
      </c>
      <c r="I27" s="123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spans="1:26" ht="60" x14ac:dyDescent="0.2">
      <c r="A28" s="123" t="s">
        <v>205</v>
      </c>
      <c r="B28" s="123" t="s">
        <v>444</v>
      </c>
      <c r="C28" s="124" t="s">
        <v>382</v>
      </c>
      <c r="D28" s="106" t="s">
        <v>356</v>
      </c>
      <c r="E28" s="123" t="s">
        <v>357</v>
      </c>
      <c r="F28" s="123" t="s">
        <v>445</v>
      </c>
      <c r="G28" s="123" t="s">
        <v>446</v>
      </c>
      <c r="H28" s="123" t="s">
        <v>440</v>
      </c>
      <c r="I28" s="123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spans="1:26" ht="60" x14ac:dyDescent="0.2">
      <c r="A29" s="123" t="s">
        <v>238</v>
      </c>
      <c r="B29" s="123" t="s">
        <v>447</v>
      </c>
      <c r="C29" s="124" t="s">
        <v>365</v>
      </c>
      <c r="D29" s="106" t="s">
        <v>356</v>
      </c>
      <c r="E29" s="123" t="s">
        <v>357</v>
      </c>
      <c r="F29" s="123" t="s">
        <v>448</v>
      </c>
      <c r="G29" s="123" t="s">
        <v>440</v>
      </c>
      <c r="H29" s="123" t="s">
        <v>449</v>
      </c>
      <c r="I29" s="123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spans="1:26" ht="60" x14ac:dyDescent="0.2">
      <c r="A30" s="123" t="s">
        <v>260</v>
      </c>
      <c r="B30" s="123" t="s">
        <v>450</v>
      </c>
      <c r="C30" s="124" t="s">
        <v>365</v>
      </c>
      <c r="D30" s="106" t="s">
        <v>356</v>
      </c>
      <c r="E30" s="123" t="s">
        <v>357</v>
      </c>
      <c r="F30" s="123" t="s">
        <v>451</v>
      </c>
      <c r="G30" s="123" t="s">
        <v>439</v>
      </c>
      <c r="H30" s="123" t="s">
        <v>440</v>
      </c>
      <c r="I30" s="123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spans="1:26" ht="165" x14ac:dyDescent="0.2">
      <c r="A31" s="120" t="s">
        <v>297</v>
      </c>
      <c r="B31" s="120" t="s">
        <v>452</v>
      </c>
      <c r="C31" s="121" t="s">
        <v>382</v>
      </c>
      <c r="D31" s="99" t="s">
        <v>356</v>
      </c>
      <c r="E31" s="120" t="s">
        <v>453</v>
      </c>
      <c r="F31" s="120" t="s">
        <v>454</v>
      </c>
      <c r="G31" s="120" t="s">
        <v>455</v>
      </c>
      <c r="H31" s="120" t="s">
        <v>456</v>
      </c>
      <c r="I31" s="120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spans="1:26" ht="165" x14ac:dyDescent="0.2">
      <c r="A32" s="120" t="s">
        <v>293</v>
      </c>
      <c r="B32" s="120" t="s">
        <v>457</v>
      </c>
      <c r="C32" s="121" t="s">
        <v>382</v>
      </c>
      <c r="D32" s="99" t="s">
        <v>356</v>
      </c>
      <c r="E32" s="120" t="s">
        <v>453</v>
      </c>
      <c r="F32" s="120" t="s">
        <v>458</v>
      </c>
      <c r="G32" s="120" t="s">
        <v>459</v>
      </c>
      <c r="H32" s="120" t="s">
        <v>460</v>
      </c>
      <c r="I32" s="120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spans="1:26" ht="60" x14ac:dyDescent="0.2">
      <c r="A33" s="120" t="s">
        <v>461</v>
      </c>
      <c r="B33" s="125" t="s">
        <v>462</v>
      </c>
      <c r="C33" s="121" t="s">
        <v>365</v>
      </c>
      <c r="D33" s="99" t="s">
        <v>356</v>
      </c>
      <c r="E33" s="125" t="s">
        <v>357</v>
      </c>
      <c r="F33" s="125" t="s">
        <v>463</v>
      </c>
      <c r="G33" s="125" t="s">
        <v>439</v>
      </c>
      <c r="H33" s="125" t="s">
        <v>440</v>
      </c>
      <c r="I33" s="120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spans="1:26" ht="165" x14ac:dyDescent="0.2">
      <c r="A34" s="123" t="s">
        <v>300</v>
      </c>
      <c r="B34" s="123" t="s">
        <v>464</v>
      </c>
      <c r="C34" s="124" t="s">
        <v>382</v>
      </c>
      <c r="D34" s="106" t="s">
        <v>356</v>
      </c>
      <c r="E34" s="123" t="s">
        <v>453</v>
      </c>
      <c r="F34" s="123" t="s">
        <v>465</v>
      </c>
      <c r="G34" s="123" t="s">
        <v>466</v>
      </c>
      <c r="H34" s="123" t="s">
        <v>467</v>
      </c>
      <c r="I34" s="123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spans="1:26" ht="165" x14ac:dyDescent="0.2">
      <c r="A35" s="123" t="s">
        <v>329</v>
      </c>
      <c r="B35" s="123" t="s">
        <v>468</v>
      </c>
      <c r="C35" s="124" t="s">
        <v>365</v>
      </c>
      <c r="D35" s="106" t="s">
        <v>356</v>
      </c>
      <c r="E35" s="123" t="s">
        <v>453</v>
      </c>
      <c r="F35" s="123" t="s">
        <v>469</v>
      </c>
      <c r="G35" s="123" t="s">
        <v>470</v>
      </c>
      <c r="H35" s="123" t="s">
        <v>440</v>
      </c>
      <c r="I35" s="123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spans="1:26" ht="165" x14ac:dyDescent="0.2">
      <c r="A36" s="123" t="s">
        <v>341</v>
      </c>
      <c r="B36" s="123" t="s">
        <v>471</v>
      </c>
      <c r="C36" s="124" t="s">
        <v>365</v>
      </c>
      <c r="D36" s="106" t="s">
        <v>356</v>
      </c>
      <c r="E36" s="123" t="s">
        <v>453</v>
      </c>
      <c r="F36" s="123" t="s">
        <v>472</v>
      </c>
      <c r="G36" s="123" t="s">
        <v>473</v>
      </c>
      <c r="H36" s="123" t="s">
        <v>440</v>
      </c>
      <c r="I36" s="123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spans="1:26" ht="165" x14ac:dyDescent="0.2">
      <c r="A37" s="123" t="s">
        <v>342</v>
      </c>
      <c r="B37" s="123" t="s">
        <v>474</v>
      </c>
      <c r="C37" s="124" t="s">
        <v>365</v>
      </c>
      <c r="D37" s="106" t="s">
        <v>356</v>
      </c>
      <c r="E37" s="123" t="s">
        <v>453</v>
      </c>
      <c r="F37" s="123" t="s">
        <v>475</v>
      </c>
      <c r="G37" s="123" t="s">
        <v>473</v>
      </c>
      <c r="H37" s="123" t="s">
        <v>440</v>
      </c>
      <c r="I37" s="123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spans="1:26" ht="165" x14ac:dyDescent="0.2">
      <c r="A38" s="123" t="s">
        <v>345</v>
      </c>
      <c r="B38" s="123" t="s">
        <v>476</v>
      </c>
      <c r="C38" s="124" t="s">
        <v>365</v>
      </c>
      <c r="D38" s="106" t="s">
        <v>356</v>
      </c>
      <c r="E38" s="123" t="s">
        <v>453</v>
      </c>
      <c r="F38" s="123" t="s">
        <v>477</v>
      </c>
      <c r="G38" s="123" t="s">
        <v>473</v>
      </c>
      <c r="H38" s="126" t="s">
        <v>440</v>
      </c>
      <c r="I38" s="126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spans="1:26" ht="45" x14ac:dyDescent="0.2">
      <c r="A39" s="123" t="s">
        <v>167</v>
      </c>
      <c r="B39" s="123" t="s">
        <v>478</v>
      </c>
      <c r="C39" s="124" t="s">
        <v>365</v>
      </c>
      <c r="D39" s="106" t="s">
        <v>356</v>
      </c>
      <c r="E39" s="123" t="s">
        <v>357</v>
      </c>
      <c r="F39" s="123" t="s">
        <v>479</v>
      </c>
      <c r="G39" s="133" t="s">
        <v>440</v>
      </c>
      <c r="H39" s="132" t="s">
        <v>480</v>
      </c>
      <c r="I39" s="132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spans="1:26" ht="45" x14ac:dyDescent="0.2">
      <c r="A40" s="126" t="s">
        <v>196</v>
      </c>
      <c r="B40" s="126" t="s">
        <v>481</v>
      </c>
      <c r="C40" s="127" t="s">
        <v>365</v>
      </c>
      <c r="D40" s="128" t="s">
        <v>356</v>
      </c>
      <c r="E40" s="126" t="s">
        <v>357</v>
      </c>
      <c r="F40" s="126" t="s">
        <v>482</v>
      </c>
      <c r="G40" s="134" t="s">
        <v>440</v>
      </c>
      <c r="H40" s="132" t="s">
        <v>483</v>
      </c>
      <c r="I40" s="13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0" x14ac:dyDescent="0.2">
      <c r="A41" s="129" t="s">
        <v>484</v>
      </c>
      <c r="B41" s="129" t="s">
        <v>485</v>
      </c>
      <c r="C41" s="130" t="s">
        <v>382</v>
      </c>
      <c r="D41" s="131" t="s">
        <v>356</v>
      </c>
      <c r="E41" s="129" t="s">
        <v>357</v>
      </c>
      <c r="F41" s="129" t="s">
        <v>486</v>
      </c>
      <c r="G41" s="129" t="s">
        <v>487</v>
      </c>
      <c r="H41" s="129" t="s">
        <v>488</v>
      </c>
      <c r="I41" s="132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spans="1:26" ht="14" x14ac:dyDescent="0.2">
      <c r="A42" s="77"/>
      <c r="B42" s="77"/>
      <c r="C42" s="80"/>
      <c r="D42" s="75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spans="1:26" ht="14" x14ac:dyDescent="0.2">
      <c r="A43" s="77"/>
      <c r="B43" s="77"/>
      <c r="C43" s="75"/>
      <c r="D43" s="75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spans="1:26" ht="14" x14ac:dyDescent="0.2"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spans="1:26" ht="14" x14ac:dyDescent="0.2"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spans="1:26" ht="14" x14ac:dyDescent="0.2"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spans="1:26" ht="14" x14ac:dyDescent="0.2"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spans="1:26" ht="14" x14ac:dyDescent="0.2"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spans="1:26" ht="14" x14ac:dyDescent="0.2"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spans="1:26" ht="14" x14ac:dyDescent="0.2"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spans="1:26" ht="14" x14ac:dyDescent="0.2"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spans="1:26" ht="14" x14ac:dyDescent="0.2"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spans="1:26" ht="14" x14ac:dyDescent="0.2"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spans="1:26" ht="14" x14ac:dyDescent="0.2"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spans="1:26" ht="14" x14ac:dyDescent="0.2"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spans="1:26" ht="14" x14ac:dyDescent="0.2">
      <c r="A56" s="77"/>
      <c r="B56" s="77"/>
      <c r="C56" s="75"/>
      <c r="D56" s="75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spans="1:26" ht="14" x14ac:dyDescent="0.2">
      <c r="A57" s="77"/>
      <c r="B57" s="77"/>
      <c r="C57" s="75"/>
      <c r="D57" s="75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spans="1:26" ht="14" x14ac:dyDescent="0.2">
      <c r="A58" s="77"/>
      <c r="B58" s="77"/>
      <c r="C58" s="75"/>
      <c r="D58" s="75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spans="1:26" ht="14" x14ac:dyDescent="0.2">
      <c r="A59" s="77"/>
      <c r="B59" s="77"/>
      <c r="C59" s="75"/>
      <c r="D59" s="75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spans="1:26" ht="14" x14ac:dyDescent="0.2">
      <c r="A60" s="77"/>
      <c r="B60" s="77"/>
      <c r="C60" s="75"/>
      <c r="D60" s="75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spans="1:26" ht="14" x14ac:dyDescent="0.2">
      <c r="A61" s="77"/>
      <c r="B61" s="77"/>
      <c r="C61" s="75"/>
      <c r="D61" s="75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spans="1:26" ht="14" x14ac:dyDescent="0.2">
      <c r="A62" s="77"/>
      <c r="B62" s="77"/>
      <c r="C62" s="75"/>
      <c r="D62" s="75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spans="1:26" ht="14" x14ac:dyDescent="0.2">
      <c r="A63" s="77"/>
      <c r="B63" s="77"/>
      <c r="C63" s="75"/>
      <c r="D63" s="75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spans="1:26" ht="14" x14ac:dyDescent="0.2">
      <c r="A64" s="77"/>
      <c r="B64" s="77"/>
      <c r="C64" s="75"/>
      <c r="D64" s="75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spans="1:26" ht="14" x14ac:dyDescent="0.2">
      <c r="A65" s="77"/>
      <c r="B65" s="77"/>
      <c r="C65" s="75"/>
      <c r="D65" s="75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4" x14ac:dyDescent="0.2">
      <c r="A66" s="77"/>
      <c r="B66" s="77"/>
      <c r="C66" s="75"/>
      <c r="D66" s="75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spans="1:26" ht="14" x14ac:dyDescent="0.2">
      <c r="A67" s="77"/>
      <c r="B67" s="77"/>
      <c r="C67" s="75"/>
      <c r="D67" s="75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spans="1:26" ht="14" x14ac:dyDescent="0.2">
      <c r="A68" s="77"/>
      <c r="B68" s="77"/>
      <c r="C68" s="75"/>
      <c r="D68" s="75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spans="1:26" ht="14" x14ac:dyDescent="0.2">
      <c r="A69" s="77"/>
      <c r="B69" s="77"/>
      <c r="C69" s="75"/>
      <c r="D69" s="75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spans="1:26" ht="14" x14ac:dyDescent="0.2">
      <c r="A70" s="77"/>
      <c r="B70" s="77"/>
      <c r="C70" s="75"/>
      <c r="D70" s="75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spans="1:26" ht="14" x14ac:dyDescent="0.2">
      <c r="A71" s="77"/>
      <c r="B71" s="77"/>
      <c r="C71" s="75"/>
      <c r="D71" s="75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spans="1:26" ht="14" x14ac:dyDescent="0.2">
      <c r="A72" s="77"/>
      <c r="B72" s="77"/>
      <c r="C72" s="75"/>
      <c r="D72" s="75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spans="1:26" ht="14" x14ac:dyDescent="0.2">
      <c r="A73" s="77"/>
      <c r="B73" s="77"/>
      <c r="C73" s="75"/>
      <c r="D73" s="75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spans="1:26" ht="14" x14ac:dyDescent="0.2">
      <c r="A74" s="77"/>
      <c r="B74" s="77"/>
      <c r="C74" s="75"/>
      <c r="D74" s="75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spans="1:26" ht="14" x14ac:dyDescent="0.2">
      <c r="A75" s="77"/>
      <c r="B75" s="77"/>
      <c r="C75" s="75"/>
      <c r="D75" s="75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spans="1:26" ht="14" x14ac:dyDescent="0.2">
      <c r="A76" s="77"/>
      <c r="B76" s="77"/>
      <c r="C76" s="75"/>
      <c r="D76" s="75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spans="1:26" ht="14" x14ac:dyDescent="0.2">
      <c r="A77" s="77"/>
      <c r="B77" s="77"/>
      <c r="C77" s="75"/>
      <c r="D77" s="75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spans="1:26" ht="14" x14ac:dyDescent="0.2">
      <c r="A78" s="77"/>
      <c r="B78" s="77"/>
      <c r="C78" s="75"/>
      <c r="D78" s="75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spans="1:26" ht="14" x14ac:dyDescent="0.2">
      <c r="A79" s="77"/>
      <c r="B79" s="77"/>
      <c r="C79" s="75"/>
      <c r="D79" s="75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spans="1:26" ht="14" x14ac:dyDescent="0.2">
      <c r="A80" s="77"/>
      <c r="B80" s="77"/>
      <c r="C80" s="75"/>
      <c r="D80" s="75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spans="1:26" ht="14" x14ac:dyDescent="0.2">
      <c r="A81" s="77"/>
      <c r="B81" s="77"/>
      <c r="C81" s="75"/>
      <c r="D81" s="75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spans="1:26" ht="14" x14ac:dyDescent="0.2">
      <c r="A82" s="77"/>
      <c r="B82" s="77"/>
      <c r="C82" s="75"/>
      <c r="D82" s="75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spans="1:26" ht="14" x14ac:dyDescent="0.2">
      <c r="A83" s="77"/>
      <c r="B83" s="77"/>
      <c r="C83" s="75"/>
      <c r="D83" s="75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spans="1:26" ht="14" x14ac:dyDescent="0.2">
      <c r="A84" s="77"/>
      <c r="B84" s="77"/>
      <c r="C84" s="75"/>
      <c r="D84" s="75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spans="1:26" ht="14" x14ac:dyDescent="0.2">
      <c r="A85" s="77"/>
      <c r="B85" s="77"/>
      <c r="C85" s="75"/>
      <c r="D85" s="75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spans="1:26" ht="14" x14ac:dyDescent="0.2">
      <c r="A86" s="77"/>
      <c r="B86" s="77"/>
      <c r="C86" s="75"/>
      <c r="D86" s="75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spans="1:26" ht="14" x14ac:dyDescent="0.2">
      <c r="A87" s="77"/>
      <c r="B87" s="77"/>
      <c r="C87" s="75"/>
      <c r="D87" s="75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spans="1:26" ht="14" x14ac:dyDescent="0.2">
      <c r="A88" s="77"/>
      <c r="B88" s="77"/>
      <c r="C88" s="75"/>
      <c r="D88" s="75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spans="1:26" ht="14" x14ac:dyDescent="0.2">
      <c r="A89" s="77"/>
      <c r="B89" s="77"/>
      <c r="C89" s="75"/>
      <c r="D89" s="75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spans="1:26" ht="14" x14ac:dyDescent="0.2">
      <c r="A90" s="77"/>
      <c r="B90" s="77"/>
      <c r="C90" s="75"/>
      <c r="D90" s="75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spans="1:26" ht="14" x14ac:dyDescent="0.2">
      <c r="A91" s="77"/>
      <c r="B91" s="77"/>
      <c r="C91" s="75"/>
      <c r="D91" s="75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spans="1:26" ht="14" x14ac:dyDescent="0.2">
      <c r="A92" s="77"/>
      <c r="B92" s="77"/>
      <c r="C92" s="75"/>
      <c r="D92" s="75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spans="1:26" ht="14" x14ac:dyDescent="0.2">
      <c r="A93" s="77"/>
      <c r="B93" s="77"/>
      <c r="C93" s="75"/>
      <c r="D93" s="75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spans="1:26" ht="14" x14ac:dyDescent="0.2">
      <c r="A94" s="77"/>
      <c r="B94" s="77"/>
      <c r="C94" s="75"/>
      <c r="D94" s="75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spans="1:26" ht="14" x14ac:dyDescent="0.2">
      <c r="A95" s="77"/>
      <c r="B95" s="77"/>
      <c r="C95" s="75"/>
      <c r="D95" s="75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spans="1:26" ht="14" x14ac:dyDescent="0.2">
      <c r="A96" s="77"/>
      <c r="B96" s="77"/>
      <c r="C96" s="75"/>
      <c r="D96" s="75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spans="1:26" ht="14" x14ac:dyDescent="0.2">
      <c r="A97" s="77"/>
      <c r="B97" s="77"/>
      <c r="C97" s="75"/>
      <c r="D97" s="75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spans="1:26" ht="14" x14ac:dyDescent="0.2">
      <c r="A98" s="77"/>
      <c r="B98" s="77"/>
      <c r="C98" s="75"/>
      <c r="D98" s="75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spans="1:26" ht="14" x14ac:dyDescent="0.2">
      <c r="A99" s="77"/>
      <c r="B99" s="77"/>
      <c r="C99" s="75"/>
      <c r="D99" s="75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4" x14ac:dyDescent="0.2">
      <c r="A100" s="77"/>
      <c r="B100" s="77"/>
      <c r="C100" s="75"/>
      <c r="D100" s="75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spans="1:26" ht="14" x14ac:dyDescent="0.2">
      <c r="A101" s="77"/>
      <c r="B101" s="77"/>
      <c r="C101" s="75"/>
      <c r="D101" s="75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spans="1:26" ht="14" x14ac:dyDescent="0.2">
      <c r="A102" s="77"/>
      <c r="B102" s="77"/>
      <c r="C102" s="75"/>
      <c r="D102" s="75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spans="1:26" ht="14" x14ac:dyDescent="0.2">
      <c r="A103" s="77"/>
      <c r="B103" s="77"/>
      <c r="C103" s="75"/>
      <c r="D103" s="75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spans="1:26" ht="14" x14ac:dyDescent="0.2">
      <c r="A104" s="77"/>
      <c r="B104" s="77"/>
      <c r="C104" s="75"/>
      <c r="D104" s="75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spans="1:26" ht="14" x14ac:dyDescent="0.2">
      <c r="A105" s="77"/>
      <c r="B105" s="77"/>
      <c r="C105" s="75"/>
      <c r="D105" s="75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spans="1:26" ht="14" x14ac:dyDescent="0.2">
      <c r="A106" s="77"/>
      <c r="B106" s="77"/>
      <c r="C106" s="75"/>
      <c r="D106" s="75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spans="1:26" ht="14" x14ac:dyDescent="0.2">
      <c r="A107" s="77"/>
      <c r="B107" s="77"/>
      <c r="C107" s="75"/>
      <c r="D107" s="75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spans="1:26" ht="14" x14ac:dyDescent="0.2">
      <c r="A108" s="77"/>
      <c r="B108" s="77"/>
      <c r="C108" s="75"/>
      <c r="D108" s="75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spans="1:26" ht="14" x14ac:dyDescent="0.2">
      <c r="A109" s="77"/>
      <c r="B109" s="77"/>
      <c r="C109" s="75"/>
      <c r="D109" s="75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spans="1:26" ht="14" x14ac:dyDescent="0.2">
      <c r="A110" s="77"/>
      <c r="B110" s="77"/>
      <c r="C110" s="75"/>
      <c r="D110" s="75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spans="1:26" ht="14" x14ac:dyDescent="0.2">
      <c r="A111" s="77"/>
      <c r="B111" s="77"/>
      <c r="C111" s="75"/>
      <c r="D111" s="75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spans="1:26" ht="14" x14ac:dyDescent="0.2">
      <c r="A112" s="77"/>
      <c r="B112" s="77"/>
      <c r="C112" s="75"/>
      <c r="D112" s="75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spans="1:26" ht="14" x14ac:dyDescent="0.2">
      <c r="A113" s="77"/>
      <c r="B113" s="77"/>
      <c r="C113" s="75"/>
      <c r="D113" s="75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spans="1:26" ht="14" x14ac:dyDescent="0.2">
      <c r="A114" s="77"/>
      <c r="B114" s="77"/>
      <c r="C114" s="75"/>
      <c r="D114" s="75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spans="1:26" ht="14" x14ac:dyDescent="0.2">
      <c r="A115" s="77"/>
      <c r="B115" s="77"/>
      <c r="C115" s="75"/>
      <c r="D115" s="75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spans="1:26" ht="14" x14ac:dyDescent="0.2">
      <c r="A116" s="77"/>
      <c r="B116" s="77"/>
      <c r="C116" s="75"/>
      <c r="D116" s="75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spans="1:26" ht="14" x14ac:dyDescent="0.2">
      <c r="A117" s="77"/>
      <c r="B117" s="77"/>
      <c r="C117" s="75"/>
      <c r="D117" s="75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spans="1:26" ht="14" x14ac:dyDescent="0.2">
      <c r="A118" s="77"/>
      <c r="B118" s="77"/>
      <c r="C118" s="75"/>
      <c r="D118" s="75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spans="1:26" ht="14" x14ac:dyDescent="0.2">
      <c r="A119" s="77"/>
      <c r="B119" s="77"/>
      <c r="C119" s="75"/>
      <c r="D119" s="75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spans="1:26" ht="14" x14ac:dyDescent="0.2">
      <c r="A120" s="77"/>
      <c r="B120" s="77"/>
      <c r="C120" s="75"/>
      <c r="D120" s="75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spans="1:26" ht="14" x14ac:dyDescent="0.2">
      <c r="A121" s="77"/>
      <c r="B121" s="77"/>
      <c r="C121" s="75"/>
      <c r="D121" s="75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spans="1:26" ht="14" x14ac:dyDescent="0.2">
      <c r="A122" s="77"/>
      <c r="B122" s="77"/>
      <c r="C122" s="75"/>
      <c r="D122" s="75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spans="1:26" ht="14" x14ac:dyDescent="0.2">
      <c r="A123" s="77"/>
      <c r="B123" s="77"/>
      <c r="C123" s="75"/>
      <c r="D123" s="75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spans="1:26" ht="14" x14ac:dyDescent="0.2">
      <c r="A124" s="77"/>
      <c r="B124" s="77"/>
      <c r="C124" s="75"/>
      <c r="D124" s="75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spans="1:26" ht="14" x14ac:dyDescent="0.2">
      <c r="A125" s="77"/>
      <c r="B125" s="77"/>
      <c r="C125" s="75"/>
      <c r="D125" s="75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spans="1:26" ht="14" x14ac:dyDescent="0.2">
      <c r="A126" s="77"/>
      <c r="B126" s="77"/>
      <c r="C126" s="75"/>
      <c r="D126" s="75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spans="1:26" ht="14" x14ac:dyDescent="0.2">
      <c r="A127" s="77"/>
      <c r="B127" s="77"/>
      <c r="C127" s="75"/>
      <c r="D127" s="75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spans="1:26" ht="14" x14ac:dyDescent="0.2">
      <c r="A128" s="77"/>
      <c r="B128" s="77"/>
      <c r="C128" s="75"/>
      <c r="D128" s="75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spans="1:26" ht="14" x14ac:dyDescent="0.2">
      <c r="A129" s="77"/>
      <c r="B129" s="77"/>
      <c r="C129" s="75"/>
      <c r="D129" s="75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spans="1:26" ht="14" x14ac:dyDescent="0.2">
      <c r="A130" s="77"/>
      <c r="B130" s="77"/>
      <c r="C130" s="75"/>
      <c r="D130" s="75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spans="1:26" ht="14" x14ac:dyDescent="0.2">
      <c r="A131" s="77"/>
      <c r="B131" s="77"/>
      <c r="C131" s="75"/>
      <c r="D131" s="75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spans="1:26" ht="14" x14ac:dyDescent="0.2">
      <c r="A132" s="77"/>
      <c r="B132" s="77"/>
      <c r="C132" s="75"/>
      <c r="D132" s="75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spans="1:26" ht="14" x14ac:dyDescent="0.2">
      <c r="A133" s="77"/>
      <c r="B133" s="77"/>
      <c r="C133" s="75"/>
      <c r="D133" s="75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spans="1:26" ht="14" x14ac:dyDescent="0.2">
      <c r="A134" s="77"/>
      <c r="B134" s="77"/>
      <c r="C134" s="75"/>
      <c r="D134" s="75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spans="1:26" ht="14" x14ac:dyDescent="0.2">
      <c r="A135" s="77"/>
      <c r="B135" s="77"/>
      <c r="C135" s="75"/>
      <c r="D135" s="75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spans="1:26" ht="14" x14ac:dyDescent="0.2">
      <c r="A136" s="77"/>
      <c r="B136" s="77"/>
      <c r="C136" s="75"/>
      <c r="D136" s="75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spans="1:26" ht="14" x14ac:dyDescent="0.2">
      <c r="A137" s="77"/>
      <c r="B137" s="77"/>
      <c r="C137" s="75"/>
      <c r="D137" s="75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spans="1:26" ht="14" x14ac:dyDescent="0.2">
      <c r="A138" s="77"/>
      <c r="B138" s="77"/>
      <c r="C138" s="75"/>
      <c r="D138" s="75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spans="1:26" ht="14" x14ac:dyDescent="0.2">
      <c r="A139" s="77"/>
      <c r="B139" s="77"/>
      <c r="C139" s="75"/>
      <c r="D139" s="75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4" x14ac:dyDescent="0.2">
      <c r="A140" s="77"/>
      <c r="B140" s="77"/>
      <c r="C140" s="75"/>
      <c r="D140" s="75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spans="1:26" ht="14" x14ac:dyDescent="0.2">
      <c r="A141" s="77"/>
      <c r="B141" s="77"/>
      <c r="C141" s="75"/>
      <c r="D141" s="75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spans="1:26" ht="14" x14ac:dyDescent="0.2">
      <c r="A142" s="77"/>
      <c r="B142" s="77"/>
      <c r="C142" s="75"/>
      <c r="D142" s="75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spans="1:26" ht="14" x14ac:dyDescent="0.2">
      <c r="A143" s="77"/>
      <c r="B143" s="77"/>
      <c r="C143" s="75"/>
      <c r="D143" s="75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spans="1:26" ht="14" x14ac:dyDescent="0.2">
      <c r="A144" s="77"/>
      <c r="B144" s="77"/>
      <c r="C144" s="75"/>
      <c r="D144" s="75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spans="1:26" ht="14" x14ac:dyDescent="0.2">
      <c r="A145" s="77"/>
      <c r="B145" s="77"/>
      <c r="C145" s="75"/>
      <c r="D145" s="75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4" x14ac:dyDescent="0.2">
      <c r="A146" s="77"/>
      <c r="B146" s="77"/>
      <c r="C146" s="75"/>
      <c r="D146" s="75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spans="1:26" ht="14" x14ac:dyDescent="0.2">
      <c r="A147" s="77"/>
      <c r="B147" s="77"/>
      <c r="C147" s="75"/>
      <c r="D147" s="75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spans="1:26" ht="14" x14ac:dyDescent="0.2">
      <c r="A148" s="77"/>
      <c r="B148" s="77"/>
      <c r="C148" s="75"/>
      <c r="D148" s="75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spans="1:26" ht="14" x14ac:dyDescent="0.2">
      <c r="A149" s="77"/>
      <c r="B149" s="77"/>
      <c r="C149" s="75"/>
      <c r="D149" s="75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spans="1:26" ht="14" x14ac:dyDescent="0.2">
      <c r="A150" s="77"/>
      <c r="B150" s="77"/>
      <c r="C150" s="75"/>
      <c r="D150" s="75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spans="1:26" ht="14" x14ac:dyDescent="0.2">
      <c r="A151" s="77"/>
      <c r="B151" s="77"/>
      <c r="C151" s="75"/>
      <c r="D151" s="75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spans="1:26" ht="14" x14ac:dyDescent="0.2">
      <c r="A152" s="77"/>
      <c r="B152" s="77"/>
      <c r="C152" s="75"/>
      <c r="D152" s="75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spans="1:26" ht="14" x14ac:dyDescent="0.2">
      <c r="A153" s="77"/>
      <c r="B153" s="77"/>
      <c r="C153" s="75"/>
      <c r="D153" s="75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spans="1:26" ht="14" x14ac:dyDescent="0.2">
      <c r="A154" s="77"/>
      <c r="B154" s="77"/>
      <c r="C154" s="75"/>
      <c r="D154" s="75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spans="1:26" ht="14" x14ac:dyDescent="0.2">
      <c r="A155" s="77"/>
      <c r="B155" s="77"/>
      <c r="C155" s="75"/>
      <c r="D155" s="75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spans="1:26" ht="14" x14ac:dyDescent="0.2">
      <c r="A156" s="77"/>
      <c r="B156" s="77"/>
      <c r="C156" s="75"/>
      <c r="D156" s="75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spans="1:26" ht="14" x14ac:dyDescent="0.2">
      <c r="A157" s="77"/>
      <c r="B157" s="77"/>
      <c r="C157" s="75"/>
      <c r="D157" s="75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spans="1:26" ht="14" x14ac:dyDescent="0.2">
      <c r="A158" s="77"/>
      <c r="B158" s="77"/>
      <c r="C158" s="75"/>
      <c r="D158" s="75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spans="1:26" ht="14" x14ac:dyDescent="0.2">
      <c r="A159" s="77"/>
      <c r="B159" s="77"/>
      <c r="C159" s="75"/>
      <c r="D159" s="75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spans="1:26" ht="14" x14ac:dyDescent="0.2">
      <c r="A160" s="77"/>
      <c r="B160" s="77"/>
      <c r="C160" s="75"/>
      <c r="D160" s="75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spans="1:26" ht="14" x14ac:dyDescent="0.2">
      <c r="A161" s="77"/>
      <c r="B161" s="77"/>
      <c r="C161" s="75"/>
      <c r="D161" s="75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spans="1:26" ht="14" x14ac:dyDescent="0.2">
      <c r="A162" s="77"/>
      <c r="B162" s="77"/>
      <c r="C162" s="75"/>
      <c r="D162" s="75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spans="1:26" ht="14" x14ac:dyDescent="0.2">
      <c r="A163" s="77"/>
      <c r="B163" s="77"/>
      <c r="C163" s="75"/>
      <c r="D163" s="75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spans="1:26" ht="14" x14ac:dyDescent="0.2">
      <c r="A164" s="77"/>
      <c r="B164" s="77"/>
      <c r="C164" s="75"/>
      <c r="D164" s="75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spans="1:26" ht="14" x14ac:dyDescent="0.2">
      <c r="A165" s="77"/>
      <c r="B165" s="77"/>
      <c r="C165" s="75"/>
      <c r="D165" s="75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spans="1:26" ht="14" x14ac:dyDescent="0.2">
      <c r="A166" s="77"/>
      <c r="B166" s="77"/>
      <c r="C166" s="75"/>
      <c r="D166" s="75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spans="1:26" ht="14" x14ac:dyDescent="0.2">
      <c r="A167" s="77"/>
      <c r="B167" s="77"/>
      <c r="C167" s="75"/>
      <c r="D167" s="75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spans="1:26" ht="14" x14ac:dyDescent="0.2">
      <c r="A168" s="77"/>
      <c r="B168" s="77"/>
      <c r="C168" s="75"/>
      <c r="D168" s="75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spans="1:26" ht="14" x14ac:dyDescent="0.2">
      <c r="A169" s="77"/>
      <c r="B169" s="77"/>
      <c r="C169" s="75"/>
      <c r="D169" s="75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spans="1:26" ht="14" x14ac:dyDescent="0.2">
      <c r="A170" s="77"/>
      <c r="B170" s="77"/>
      <c r="C170" s="75"/>
      <c r="D170" s="75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spans="1:26" ht="14" x14ac:dyDescent="0.2">
      <c r="A171" s="77"/>
      <c r="B171" s="77"/>
      <c r="C171" s="75"/>
      <c r="D171" s="75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spans="1:26" ht="14" x14ac:dyDescent="0.2">
      <c r="A172" s="77"/>
      <c r="B172" s="77"/>
      <c r="C172" s="75"/>
      <c r="D172" s="75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spans="1:26" ht="14" x14ac:dyDescent="0.2">
      <c r="A173" s="77"/>
      <c r="B173" s="77"/>
      <c r="C173" s="75"/>
      <c r="D173" s="75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spans="1:26" ht="14" x14ac:dyDescent="0.2">
      <c r="A174" s="77"/>
      <c r="B174" s="77"/>
      <c r="C174" s="75"/>
      <c r="D174" s="75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spans="1:26" ht="14" x14ac:dyDescent="0.2">
      <c r="A175" s="77"/>
      <c r="B175" s="77"/>
      <c r="C175" s="75"/>
      <c r="D175" s="75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spans="1:26" ht="14" x14ac:dyDescent="0.2">
      <c r="A176" s="77"/>
      <c r="B176" s="77"/>
      <c r="C176" s="75"/>
      <c r="D176" s="75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spans="1:26" ht="14" x14ac:dyDescent="0.2">
      <c r="A177" s="77"/>
      <c r="B177" s="77"/>
      <c r="C177" s="75"/>
      <c r="D177" s="75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spans="1:26" ht="14" x14ac:dyDescent="0.2">
      <c r="A178" s="77"/>
      <c r="B178" s="77"/>
      <c r="C178" s="75"/>
      <c r="D178" s="75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spans="1:26" ht="14" x14ac:dyDescent="0.2">
      <c r="A179" s="77"/>
      <c r="B179" s="77"/>
      <c r="C179" s="75"/>
      <c r="D179" s="75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spans="1:26" ht="14" x14ac:dyDescent="0.2">
      <c r="A180" s="77"/>
      <c r="B180" s="77"/>
      <c r="C180" s="75"/>
      <c r="D180" s="75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spans="1:26" ht="14" x14ac:dyDescent="0.2">
      <c r="A181" s="77"/>
      <c r="B181" s="77"/>
      <c r="C181" s="75"/>
      <c r="D181" s="75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spans="1:26" ht="14" x14ac:dyDescent="0.2">
      <c r="A182" s="77"/>
      <c r="B182" s="77"/>
      <c r="C182" s="75"/>
      <c r="D182" s="75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spans="1:26" ht="14" x14ac:dyDescent="0.2">
      <c r="A183" s="77"/>
      <c r="B183" s="77"/>
      <c r="C183" s="75"/>
      <c r="D183" s="75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spans="1:26" ht="14" x14ac:dyDescent="0.2">
      <c r="A184" s="77"/>
      <c r="B184" s="77"/>
      <c r="C184" s="75"/>
      <c r="D184" s="75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4" x14ac:dyDescent="0.2">
      <c r="A185" s="77"/>
      <c r="B185" s="77"/>
      <c r="C185" s="75"/>
      <c r="D185" s="75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spans="1:26" ht="14" x14ac:dyDescent="0.2">
      <c r="A186" s="77"/>
      <c r="B186" s="77"/>
      <c r="C186" s="75"/>
      <c r="D186" s="75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spans="1:26" ht="14" x14ac:dyDescent="0.2">
      <c r="A187" s="77"/>
      <c r="B187" s="77"/>
      <c r="C187" s="75"/>
      <c r="D187" s="75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spans="1:26" ht="14" x14ac:dyDescent="0.2">
      <c r="A188" s="77"/>
      <c r="B188" s="77"/>
      <c r="C188" s="75"/>
      <c r="D188" s="75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spans="1:26" ht="14" x14ac:dyDescent="0.2">
      <c r="A189" s="77"/>
      <c r="B189" s="77"/>
      <c r="C189" s="75"/>
      <c r="D189" s="75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spans="1:26" ht="14" x14ac:dyDescent="0.2">
      <c r="A190" s="77"/>
      <c r="B190" s="77"/>
      <c r="C190" s="75"/>
      <c r="D190" s="75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spans="1:26" ht="14" x14ac:dyDescent="0.2">
      <c r="A191" s="77"/>
      <c r="B191" s="77"/>
      <c r="C191" s="75"/>
      <c r="D191" s="75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spans="1:26" ht="14" x14ac:dyDescent="0.2">
      <c r="A192" s="77"/>
      <c r="B192" s="77"/>
      <c r="C192" s="75"/>
      <c r="D192" s="75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spans="1:26" ht="14" x14ac:dyDescent="0.2">
      <c r="A193" s="77"/>
      <c r="B193" s="77"/>
      <c r="C193" s="75"/>
      <c r="D193" s="75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spans="1:26" ht="14" x14ac:dyDescent="0.2">
      <c r="A194" s="77"/>
      <c r="B194" s="77"/>
      <c r="C194" s="75"/>
      <c r="D194" s="75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spans="1:26" ht="14" x14ac:dyDescent="0.2">
      <c r="A195" s="77"/>
      <c r="B195" s="77"/>
      <c r="C195" s="75"/>
      <c r="D195" s="75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spans="1:26" ht="14" x14ac:dyDescent="0.2">
      <c r="A196" s="77"/>
      <c r="B196" s="77"/>
      <c r="C196" s="75"/>
      <c r="D196" s="75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spans="1:26" ht="14" x14ac:dyDescent="0.2">
      <c r="A197" s="77"/>
      <c r="B197" s="77"/>
      <c r="C197" s="75"/>
      <c r="D197" s="75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spans="1:26" ht="14" x14ac:dyDescent="0.2">
      <c r="A198" s="77"/>
      <c r="B198" s="77"/>
      <c r="C198" s="75"/>
      <c r="D198" s="75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spans="1:26" ht="14" x14ac:dyDescent="0.2">
      <c r="A199" s="77"/>
      <c r="B199" s="77"/>
      <c r="C199" s="75"/>
      <c r="D199" s="75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spans="1:26" ht="14" x14ac:dyDescent="0.2">
      <c r="A200" s="77"/>
      <c r="B200" s="77"/>
      <c r="C200" s="75"/>
      <c r="D200" s="75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spans="1:26" ht="14" x14ac:dyDescent="0.2">
      <c r="A201" s="77"/>
      <c r="B201" s="77"/>
      <c r="C201" s="75"/>
      <c r="D201" s="75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spans="1:26" ht="14" x14ac:dyDescent="0.2">
      <c r="A202" s="77"/>
      <c r="B202" s="77"/>
      <c r="C202" s="75"/>
      <c r="D202" s="75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spans="1:26" ht="14" x14ac:dyDescent="0.2">
      <c r="A203" s="77"/>
      <c r="B203" s="77"/>
      <c r="C203" s="75"/>
      <c r="D203" s="75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spans="1:26" ht="14" x14ac:dyDescent="0.2">
      <c r="A204" s="77"/>
      <c r="B204" s="77"/>
      <c r="C204" s="75"/>
      <c r="D204" s="75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spans="1:26" ht="14" x14ac:dyDescent="0.2">
      <c r="A205" s="77"/>
      <c r="B205" s="77"/>
      <c r="C205" s="75"/>
      <c r="D205" s="75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spans="1:26" ht="14" x14ac:dyDescent="0.2">
      <c r="A206" s="77"/>
      <c r="B206" s="77"/>
      <c r="C206" s="75"/>
      <c r="D206" s="75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spans="1:26" ht="14" x14ac:dyDescent="0.2">
      <c r="A207" s="77"/>
      <c r="B207" s="77"/>
      <c r="C207" s="75"/>
      <c r="D207" s="75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spans="1:26" ht="14" x14ac:dyDescent="0.2">
      <c r="A208" s="77"/>
      <c r="B208" s="77"/>
      <c r="C208" s="75"/>
      <c r="D208" s="75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spans="1:26" ht="14" x14ac:dyDescent="0.2">
      <c r="A209" s="77"/>
      <c r="B209" s="77"/>
      <c r="C209" s="75"/>
      <c r="D209" s="75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spans="1:26" ht="14" x14ac:dyDescent="0.2">
      <c r="A210" s="77"/>
      <c r="B210" s="77"/>
      <c r="C210" s="75"/>
      <c r="D210" s="75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spans="1:26" ht="14" x14ac:dyDescent="0.2">
      <c r="A211" s="77"/>
      <c r="B211" s="77"/>
      <c r="C211" s="75"/>
      <c r="D211" s="75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spans="1:26" ht="14" x14ac:dyDescent="0.2">
      <c r="A212" s="77"/>
      <c r="B212" s="77"/>
      <c r="C212" s="75"/>
      <c r="D212" s="75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spans="1:26" ht="14" x14ac:dyDescent="0.2">
      <c r="A213" s="77"/>
      <c r="B213" s="77"/>
      <c r="C213" s="75"/>
      <c r="D213" s="75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spans="1:26" ht="14" x14ac:dyDescent="0.2">
      <c r="A214" s="77"/>
      <c r="B214" s="77"/>
      <c r="C214" s="75"/>
      <c r="D214" s="75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spans="1:26" ht="14" x14ac:dyDescent="0.2">
      <c r="A215" s="77"/>
      <c r="B215" s="77"/>
      <c r="C215" s="75"/>
      <c r="D215" s="75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spans="1:26" ht="14" x14ac:dyDescent="0.2">
      <c r="A216" s="77"/>
      <c r="B216" s="77"/>
      <c r="C216" s="75"/>
      <c r="D216" s="75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spans="1:26" ht="14" x14ac:dyDescent="0.2">
      <c r="A217" s="77"/>
      <c r="B217" s="77"/>
      <c r="C217" s="75"/>
      <c r="D217" s="75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spans="1:26" ht="14" x14ac:dyDescent="0.2">
      <c r="A218" s="77"/>
      <c r="B218" s="77"/>
      <c r="C218" s="75"/>
      <c r="D218" s="75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spans="1:26" ht="14" x14ac:dyDescent="0.2">
      <c r="A219" s="77"/>
      <c r="B219" s="77"/>
      <c r="C219" s="75"/>
      <c r="D219" s="75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spans="1:26" ht="14" x14ac:dyDescent="0.2">
      <c r="A220" s="77"/>
      <c r="B220" s="77"/>
      <c r="C220" s="75"/>
      <c r="D220" s="75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4" x14ac:dyDescent="0.2">
      <c r="A221" s="77"/>
      <c r="B221" s="77"/>
      <c r="C221" s="75"/>
      <c r="D221" s="75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spans="1:26" ht="14" x14ac:dyDescent="0.2">
      <c r="A222" s="77"/>
      <c r="B222" s="77"/>
      <c r="C222" s="75"/>
      <c r="D222" s="75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spans="1:26" ht="14" x14ac:dyDescent="0.2">
      <c r="A223" s="77"/>
      <c r="B223" s="77"/>
      <c r="C223" s="75"/>
      <c r="D223" s="75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spans="1:26" ht="14" x14ac:dyDescent="0.2">
      <c r="A224" s="77"/>
      <c r="B224" s="77"/>
      <c r="C224" s="75"/>
      <c r="D224" s="75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spans="1:26" ht="14" x14ac:dyDescent="0.2">
      <c r="A225" s="77"/>
      <c r="B225" s="77"/>
      <c r="C225" s="75"/>
      <c r="D225" s="75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spans="1:26" ht="14" x14ac:dyDescent="0.2">
      <c r="A226" s="77"/>
      <c r="B226" s="77"/>
      <c r="C226" s="75"/>
      <c r="D226" s="75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spans="1:26" ht="14" x14ac:dyDescent="0.2">
      <c r="A227" s="77"/>
      <c r="B227" s="77"/>
      <c r="C227" s="75"/>
      <c r="D227" s="75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spans="1:26" ht="14" x14ac:dyDescent="0.2">
      <c r="A228" s="77"/>
      <c r="B228" s="77"/>
      <c r="C228" s="75"/>
      <c r="D228" s="75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spans="1:26" ht="14" x14ac:dyDescent="0.2">
      <c r="A229" s="77"/>
      <c r="B229" s="77"/>
      <c r="C229" s="75"/>
      <c r="D229" s="75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spans="1:26" ht="14" x14ac:dyDescent="0.2">
      <c r="A230" s="77"/>
      <c r="B230" s="77"/>
      <c r="C230" s="75"/>
      <c r="D230" s="75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spans="1:26" ht="14" x14ac:dyDescent="0.2">
      <c r="A231" s="77"/>
      <c r="B231" s="77"/>
      <c r="C231" s="75"/>
      <c r="D231" s="75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spans="1:26" ht="14" x14ac:dyDescent="0.2">
      <c r="A232" s="77"/>
      <c r="B232" s="77"/>
      <c r="C232" s="75"/>
      <c r="D232" s="75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spans="1:26" ht="14" x14ac:dyDescent="0.2">
      <c r="A233" s="77"/>
      <c r="B233" s="77"/>
      <c r="C233" s="75"/>
      <c r="D233" s="75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spans="1:26" ht="14" x14ac:dyDescent="0.2">
      <c r="A234" s="77"/>
      <c r="B234" s="77"/>
      <c r="C234" s="75"/>
      <c r="D234" s="75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spans="1:26" ht="14" x14ac:dyDescent="0.2">
      <c r="A235" s="77"/>
      <c r="B235" s="77"/>
      <c r="C235" s="75"/>
      <c r="D235" s="75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spans="1:26" ht="14" x14ac:dyDescent="0.2">
      <c r="A236" s="77"/>
      <c r="B236" s="77"/>
      <c r="C236" s="75"/>
      <c r="D236" s="75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spans="1:26" ht="14" x14ac:dyDescent="0.2">
      <c r="A237" s="77"/>
      <c r="B237" s="77"/>
      <c r="C237" s="75"/>
      <c r="D237" s="75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spans="1:26" ht="14" x14ac:dyDescent="0.2">
      <c r="A238" s="77"/>
      <c r="B238" s="77"/>
      <c r="C238" s="75"/>
      <c r="D238" s="75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spans="1:26" ht="14" x14ac:dyDescent="0.2">
      <c r="A239" s="77"/>
      <c r="B239" s="77"/>
      <c r="C239" s="75"/>
      <c r="D239" s="75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spans="1:26" ht="14" x14ac:dyDescent="0.2">
      <c r="A240" s="77"/>
      <c r="B240" s="77"/>
      <c r="C240" s="75"/>
      <c r="D240" s="75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spans="1:26" ht="14" x14ac:dyDescent="0.2">
      <c r="A241" s="77"/>
      <c r="B241" s="77"/>
      <c r="C241" s="75"/>
      <c r="D241" s="75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spans="1:26" ht="14" x14ac:dyDescent="0.2">
      <c r="A242" s="77"/>
      <c r="B242" s="77"/>
      <c r="C242" s="75"/>
      <c r="D242" s="75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spans="1:26" ht="14" x14ac:dyDescent="0.2">
      <c r="A243" s="77"/>
      <c r="B243" s="77"/>
      <c r="C243" s="75"/>
      <c r="D243" s="75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spans="1:26" ht="14" x14ac:dyDescent="0.2">
      <c r="A244" s="77"/>
      <c r="B244" s="77"/>
      <c r="C244" s="75"/>
      <c r="D244" s="75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spans="1:26" ht="14" x14ac:dyDescent="0.2">
      <c r="A245" s="77"/>
      <c r="B245" s="77"/>
      <c r="C245" s="75"/>
      <c r="D245" s="75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spans="1:26" ht="14" x14ac:dyDescent="0.2">
      <c r="A246" s="77"/>
      <c r="B246" s="77"/>
      <c r="C246" s="75"/>
      <c r="D246" s="75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spans="1:26" ht="14" x14ac:dyDescent="0.2">
      <c r="A247" s="77"/>
      <c r="B247" s="77"/>
      <c r="C247" s="75"/>
      <c r="D247" s="75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spans="1:26" ht="14" x14ac:dyDescent="0.2">
      <c r="A248" s="77"/>
      <c r="B248" s="77"/>
      <c r="C248" s="75"/>
      <c r="D248" s="75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spans="1:26" ht="14" x14ac:dyDescent="0.2">
      <c r="A249" s="77"/>
      <c r="B249" s="77"/>
      <c r="C249" s="75"/>
      <c r="D249" s="75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spans="1:26" ht="14" x14ac:dyDescent="0.2">
      <c r="A250" s="77"/>
      <c r="B250" s="77"/>
      <c r="C250" s="75"/>
      <c r="D250" s="75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spans="1:26" ht="14" x14ac:dyDescent="0.2">
      <c r="A251" s="77"/>
      <c r="B251" s="77"/>
      <c r="C251" s="75"/>
      <c r="D251" s="75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spans="1:26" ht="14" x14ac:dyDescent="0.2">
      <c r="A252" s="77"/>
      <c r="B252" s="77"/>
      <c r="C252" s="75"/>
      <c r="D252" s="75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spans="1:26" ht="14" x14ac:dyDescent="0.2">
      <c r="A253" s="77"/>
      <c r="B253" s="77"/>
      <c r="C253" s="75"/>
      <c r="D253" s="75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spans="1:26" ht="14" x14ac:dyDescent="0.2">
      <c r="A254" s="77"/>
      <c r="B254" s="77"/>
      <c r="C254" s="75"/>
      <c r="D254" s="75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spans="1:26" ht="14" x14ac:dyDescent="0.2">
      <c r="A255" s="77"/>
      <c r="B255" s="77"/>
      <c r="C255" s="75"/>
      <c r="D255" s="75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spans="1:26" ht="14" x14ac:dyDescent="0.2">
      <c r="A256" s="77"/>
      <c r="B256" s="77"/>
      <c r="C256" s="75"/>
      <c r="D256" s="75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spans="1:26" ht="14" x14ac:dyDescent="0.2">
      <c r="A257" s="77"/>
      <c r="B257" s="77"/>
      <c r="C257" s="75"/>
      <c r="D257" s="75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spans="1:26" ht="14" x14ac:dyDescent="0.2">
      <c r="A258" s="77"/>
      <c r="B258" s="77"/>
      <c r="C258" s="75"/>
      <c r="D258" s="75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spans="1:26" ht="14" x14ac:dyDescent="0.2">
      <c r="A259" s="77"/>
      <c r="B259" s="77"/>
      <c r="C259" s="75"/>
      <c r="D259" s="75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spans="1:26" ht="14" x14ac:dyDescent="0.2">
      <c r="A260" s="77"/>
      <c r="B260" s="77"/>
      <c r="C260" s="75"/>
      <c r="D260" s="75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spans="1:26" ht="14" x14ac:dyDescent="0.2">
      <c r="A261" s="77"/>
      <c r="B261" s="77"/>
      <c r="C261" s="75"/>
      <c r="D261" s="75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spans="1:26" ht="14" x14ac:dyDescent="0.2">
      <c r="A262" s="77"/>
      <c r="B262" s="77"/>
      <c r="C262" s="75"/>
      <c r="D262" s="75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spans="1:26" ht="14" x14ac:dyDescent="0.2">
      <c r="A263" s="77"/>
      <c r="B263" s="77"/>
      <c r="C263" s="75"/>
      <c r="D263" s="75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spans="1:26" ht="14" x14ac:dyDescent="0.2">
      <c r="A264" s="77"/>
      <c r="B264" s="77"/>
      <c r="C264" s="75"/>
      <c r="D264" s="75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spans="1:26" ht="14" x14ac:dyDescent="0.2">
      <c r="A265" s="77"/>
      <c r="B265" s="77"/>
      <c r="C265" s="75"/>
      <c r="D265" s="75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spans="1:26" ht="14" x14ac:dyDescent="0.2">
      <c r="A266" s="77"/>
      <c r="B266" s="77"/>
      <c r="C266" s="75"/>
      <c r="D266" s="75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spans="1:26" ht="14" x14ac:dyDescent="0.2">
      <c r="A267" s="77"/>
      <c r="B267" s="77"/>
      <c r="C267" s="75"/>
      <c r="D267" s="75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spans="1:26" ht="14" x14ac:dyDescent="0.2">
      <c r="A268" s="77"/>
      <c r="B268" s="77"/>
      <c r="C268" s="75"/>
      <c r="D268" s="75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spans="1:26" ht="14" x14ac:dyDescent="0.2">
      <c r="A269" s="77"/>
      <c r="B269" s="77"/>
      <c r="C269" s="75"/>
      <c r="D269" s="75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4" x14ac:dyDescent="0.2">
      <c r="A270" s="77"/>
      <c r="B270" s="77"/>
      <c r="C270" s="75"/>
      <c r="D270" s="75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spans="1:26" ht="14" x14ac:dyDescent="0.2">
      <c r="A271" s="77"/>
      <c r="B271" s="77"/>
      <c r="C271" s="75"/>
      <c r="D271" s="75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spans="1:26" ht="14" x14ac:dyDescent="0.2">
      <c r="A272" s="77"/>
      <c r="B272" s="77"/>
      <c r="C272" s="75"/>
      <c r="D272" s="75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spans="1:26" ht="14" x14ac:dyDescent="0.2">
      <c r="A273" s="77"/>
      <c r="B273" s="77"/>
      <c r="C273" s="75"/>
      <c r="D273" s="75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spans="1:26" ht="14" x14ac:dyDescent="0.2">
      <c r="A274" s="77"/>
      <c r="B274" s="77"/>
      <c r="C274" s="75"/>
      <c r="D274" s="75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spans="1:26" ht="14" x14ac:dyDescent="0.2">
      <c r="A275" s="77"/>
      <c r="B275" s="77"/>
      <c r="C275" s="75"/>
      <c r="D275" s="75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4" x14ac:dyDescent="0.2">
      <c r="A276" s="77"/>
      <c r="B276" s="77"/>
      <c r="C276" s="75"/>
      <c r="D276" s="75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spans="1:26" ht="14" x14ac:dyDescent="0.2">
      <c r="A277" s="77"/>
      <c r="B277" s="77"/>
      <c r="C277" s="75"/>
      <c r="D277" s="75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spans="1:26" ht="14" x14ac:dyDescent="0.2">
      <c r="A278" s="77"/>
      <c r="B278" s="77"/>
      <c r="C278" s="75"/>
      <c r="D278" s="75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spans="1:26" ht="14" x14ac:dyDescent="0.2">
      <c r="A279" s="77"/>
      <c r="B279" s="77"/>
      <c r="C279" s="75"/>
      <c r="D279" s="75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spans="1:26" ht="14" x14ac:dyDescent="0.2">
      <c r="A280" s="77"/>
      <c r="B280" s="77"/>
      <c r="C280" s="75"/>
      <c r="D280" s="75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spans="1:26" ht="14" x14ac:dyDescent="0.2">
      <c r="A281" s="77"/>
      <c r="B281" s="77"/>
      <c r="C281" s="75"/>
      <c r="D281" s="75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spans="1:26" ht="14" x14ac:dyDescent="0.2">
      <c r="A282" s="77"/>
      <c r="B282" s="77"/>
      <c r="C282" s="75"/>
      <c r="D282" s="75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spans="1:26" ht="14" x14ac:dyDescent="0.2">
      <c r="A283" s="77"/>
      <c r="B283" s="77"/>
      <c r="C283" s="75"/>
      <c r="D283" s="75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spans="1:26" ht="14" x14ac:dyDescent="0.2">
      <c r="A284" s="77"/>
      <c r="B284" s="77"/>
      <c r="C284" s="75"/>
      <c r="D284" s="75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spans="1:26" ht="14" x14ac:dyDescent="0.2">
      <c r="A285" s="77"/>
      <c r="B285" s="77"/>
      <c r="C285" s="75"/>
      <c r="D285" s="75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spans="1:26" ht="14" x14ac:dyDescent="0.2">
      <c r="A286" s="77"/>
      <c r="B286" s="77"/>
      <c r="C286" s="75"/>
      <c r="D286" s="75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spans="1:26" ht="14" x14ac:dyDescent="0.2">
      <c r="A287" s="77"/>
      <c r="B287" s="77"/>
      <c r="C287" s="75"/>
      <c r="D287" s="75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4" x14ac:dyDescent="0.2">
      <c r="A288" s="77"/>
      <c r="B288" s="77"/>
      <c r="C288" s="75"/>
      <c r="D288" s="75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spans="1:26" ht="14" x14ac:dyDescent="0.2">
      <c r="A289" s="77"/>
      <c r="B289" s="77"/>
      <c r="C289" s="75"/>
      <c r="D289" s="75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spans="1:26" ht="14" x14ac:dyDescent="0.2">
      <c r="A290" s="77"/>
      <c r="B290" s="77"/>
      <c r="C290" s="75"/>
      <c r="D290" s="75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spans="1:26" ht="14" x14ac:dyDescent="0.2">
      <c r="A291" s="77"/>
      <c r="B291" s="77"/>
      <c r="C291" s="75"/>
      <c r="D291" s="75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spans="1:26" ht="14" x14ac:dyDescent="0.2">
      <c r="A292" s="77"/>
      <c r="B292" s="77"/>
      <c r="C292" s="75"/>
      <c r="D292" s="75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spans="1:26" ht="14" x14ac:dyDescent="0.2">
      <c r="A293" s="77"/>
      <c r="B293" s="77"/>
      <c r="C293" s="75"/>
      <c r="D293" s="75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spans="1:26" ht="14" x14ac:dyDescent="0.2">
      <c r="A294" s="77"/>
      <c r="B294" s="77"/>
      <c r="C294" s="75"/>
      <c r="D294" s="75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spans="1:26" ht="14" x14ac:dyDescent="0.2">
      <c r="A295" s="77"/>
      <c r="B295" s="77"/>
      <c r="C295" s="75"/>
      <c r="D295" s="75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spans="1:26" ht="14" x14ac:dyDescent="0.2">
      <c r="A296" s="77"/>
      <c r="B296" s="77"/>
      <c r="C296" s="75"/>
      <c r="D296" s="75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spans="1:26" ht="14" x14ac:dyDescent="0.2">
      <c r="A297" s="77"/>
      <c r="B297" s="77"/>
      <c r="C297" s="75"/>
      <c r="D297" s="75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spans="1:26" ht="14" x14ac:dyDescent="0.2">
      <c r="A298" s="77"/>
      <c r="B298" s="77"/>
      <c r="C298" s="75"/>
      <c r="D298" s="75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spans="1:26" ht="14" x14ac:dyDescent="0.2">
      <c r="A299" s="77"/>
      <c r="B299" s="77"/>
      <c r="C299" s="75"/>
      <c r="D299" s="75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spans="1:26" ht="14" x14ac:dyDescent="0.2">
      <c r="A300" s="77"/>
      <c r="B300" s="77"/>
      <c r="C300" s="75"/>
      <c r="D300" s="75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spans="1:26" ht="14" x14ac:dyDescent="0.2">
      <c r="A301" s="77"/>
      <c r="B301" s="77"/>
      <c r="C301" s="75"/>
      <c r="D301" s="75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spans="1:26" ht="14" x14ac:dyDescent="0.2">
      <c r="A302" s="77"/>
      <c r="B302" s="77"/>
      <c r="C302" s="75"/>
      <c r="D302" s="75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spans="1:26" ht="14" x14ac:dyDescent="0.2">
      <c r="A303" s="77"/>
      <c r="B303" s="77"/>
      <c r="C303" s="75"/>
      <c r="D303" s="75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spans="1:26" ht="14" x14ac:dyDescent="0.2">
      <c r="A304" s="77"/>
      <c r="B304" s="77"/>
      <c r="C304" s="75"/>
      <c r="D304" s="75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spans="1:26" ht="14" x14ac:dyDescent="0.2">
      <c r="A305" s="77"/>
      <c r="B305" s="77"/>
      <c r="C305" s="75"/>
      <c r="D305" s="75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spans="1:26" ht="14" x14ac:dyDescent="0.2">
      <c r="A306" s="77"/>
      <c r="B306" s="77"/>
      <c r="C306" s="75"/>
      <c r="D306" s="75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spans="1:26" ht="14" x14ac:dyDescent="0.2">
      <c r="A307" s="77"/>
      <c r="B307" s="77"/>
      <c r="C307" s="75"/>
      <c r="D307" s="75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spans="1:26" ht="14" x14ac:dyDescent="0.2">
      <c r="A308" s="77"/>
      <c r="B308" s="77"/>
      <c r="C308" s="75"/>
      <c r="D308" s="75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spans="1:26" ht="14" x14ac:dyDescent="0.2">
      <c r="A309" s="77"/>
      <c r="B309" s="77"/>
      <c r="C309" s="75"/>
      <c r="D309" s="75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spans="1:26" ht="14" x14ac:dyDescent="0.2">
      <c r="A310" s="77"/>
      <c r="B310" s="77"/>
      <c r="C310" s="75"/>
      <c r="D310" s="75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spans="1:26" ht="14" x14ac:dyDescent="0.2">
      <c r="A311" s="77"/>
      <c r="B311" s="77"/>
      <c r="C311" s="75"/>
      <c r="D311" s="75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spans="1:26" ht="14" x14ac:dyDescent="0.2">
      <c r="A312" s="77"/>
      <c r="B312" s="77"/>
      <c r="C312" s="75"/>
      <c r="D312" s="75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spans="1:26" ht="14" x14ac:dyDescent="0.2">
      <c r="A313" s="77"/>
      <c r="B313" s="77"/>
      <c r="C313" s="75"/>
      <c r="D313" s="75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spans="1:26" ht="14" x14ac:dyDescent="0.2">
      <c r="A314" s="77"/>
      <c r="B314" s="77"/>
      <c r="C314" s="75"/>
      <c r="D314" s="75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spans="1:26" ht="14" x14ac:dyDescent="0.2">
      <c r="A315" s="77"/>
      <c r="B315" s="77"/>
      <c r="C315" s="75"/>
      <c r="D315" s="75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spans="1:26" ht="14" x14ac:dyDescent="0.2">
      <c r="A316" s="77"/>
      <c r="B316" s="77"/>
      <c r="C316" s="75"/>
      <c r="D316" s="75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spans="1:26" ht="14" x14ac:dyDescent="0.2">
      <c r="A317" s="77"/>
      <c r="B317" s="77"/>
      <c r="C317" s="75"/>
      <c r="D317" s="75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spans="1:26" ht="14" x14ac:dyDescent="0.2">
      <c r="A318" s="77"/>
      <c r="B318" s="77"/>
      <c r="C318" s="75"/>
      <c r="D318" s="75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spans="1:26" ht="14" x14ac:dyDescent="0.2">
      <c r="A319" s="77"/>
      <c r="B319" s="77"/>
      <c r="C319" s="75"/>
      <c r="D319" s="75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spans="1:26" ht="14" x14ac:dyDescent="0.2">
      <c r="A320" s="77"/>
      <c r="B320" s="77"/>
      <c r="C320" s="75"/>
      <c r="D320" s="75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spans="1:26" ht="14" x14ac:dyDescent="0.2">
      <c r="A321" s="77"/>
      <c r="B321" s="77"/>
      <c r="C321" s="75"/>
      <c r="D321" s="75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spans="1:26" ht="14" x14ac:dyDescent="0.2">
      <c r="A322" s="77"/>
      <c r="B322" s="77"/>
      <c r="C322" s="75"/>
      <c r="D322" s="75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spans="1:26" ht="14" x14ac:dyDescent="0.2">
      <c r="A323" s="77"/>
      <c r="B323" s="77"/>
      <c r="C323" s="75"/>
      <c r="D323" s="75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spans="1:26" ht="14" x14ac:dyDescent="0.2">
      <c r="A324" s="77"/>
      <c r="B324" s="77"/>
      <c r="C324" s="75"/>
      <c r="D324" s="75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spans="1:26" ht="14" x14ac:dyDescent="0.2">
      <c r="A325" s="77"/>
      <c r="B325" s="77"/>
      <c r="C325" s="75"/>
      <c r="D325" s="75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spans="1:26" ht="14" x14ac:dyDescent="0.2">
      <c r="A326" s="77"/>
      <c r="B326" s="77"/>
      <c r="C326" s="75"/>
      <c r="D326" s="75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4" x14ac:dyDescent="0.2">
      <c r="A327" s="77"/>
      <c r="B327" s="77"/>
      <c r="C327" s="75"/>
      <c r="D327" s="75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spans="1:26" ht="14" x14ac:dyDescent="0.2">
      <c r="A328" s="77"/>
      <c r="B328" s="77"/>
      <c r="C328" s="75"/>
      <c r="D328" s="75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spans="1:26" ht="14" x14ac:dyDescent="0.2">
      <c r="A329" s="77"/>
      <c r="B329" s="77"/>
      <c r="C329" s="75"/>
      <c r="D329" s="75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spans="1:26" ht="14" x14ac:dyDescent="0.2">
      <c r="A330" s="77"/>
      <c r="B330" s="77"/>
      <c r="C330" s="75"/>
      <c r="D330" s="75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spans="1:26" ht="14" x14ac:dyDescent="0.2">
      <c r="A331" s="77"/>
      <c r="B331" s="77"/>
      <c r="C331" s="75"/>
      <c r="D331" s="75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spans="1:26" ht="14" x14ac:dyDescent="0.2">
      <c r="A332" s="77"/>
      <c r="B332" s="77"/>
      <c r="C332" s="75"/>
      <c r="D332" s="75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spans="1:26" ht="14" x14ac:dyDescent="0.2">
      <c r="A333" s="77"/>
      <c r="B333" s="77"/>
      <c r="C333" s="75"/>
      <c r="D333" s="75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spans="1:26" ht="14" x14ac:dyDescent="0.2">
      <c r="A334" s="77"/>
      <c r="B334" s="77"/>
      <c r="C334" s="75"/>
      <c r="D334" s="75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spans="1:26" ht="14" x14ac:dyDescent="0.2">
      <c r="A335" s="77"/>
      <c r="B335" s="77"/>
      <c r="C335" s="75"/>
      <c r="D335" s="75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spans="1:26" ht="14" x14ac:dyDescent="0.2">
      <c r="A336" s="77"/>
      <c r="B336" s="77"/>
      <c r="C336" s="75"/>
      <c r="D336" s="75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spans="1:26" ht="14" x14ac:dyDescent="0.2">
      <c r="A337" s="77"/>
      <c r="B337" s="77"/>
      <c r="C337" s="75"/>
      <c r="D337" s="75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spans="1:26" ht="14" x14ac:dyDescent="0.2">
      <c r="A338" s="77"/>
      <c r="B338" s="77"/>
      <c r="C338" s="75"/>
      <c r="D338" s="75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spans="1:26" ht="14" x14ac:dyDescent="0.2">
      <c r="A339" s="77"/>
      <c r="B339" s="77"/>
      <c r="C339" s="75"/>
      <c r="D339" s="75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spans="1:26" ht="14" x14ac:dyDescent="0.2">
      <c r="A340" s="77"/>
      <c r="B340" s="77"/>
      <c r="C340" s="75"/>
      <c r="D340" s="75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spans="1:26" ht="14" x14ac:dyDescent="0.2">
      <c r="A341" s="77"/>
      <c r="B341" s="77"/>
      <c r="C341" s="75"/>
      <c r="D341" s="75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spans="1:26" ht="14" x14ac:dyDescent="0.2">
      <c r="A342" s="77"/>
      <c r="B342" s="77"/>
      <c r="C342" s="75"/>
      <c r="D342" s="75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spans="1:26" ht="14" x14ac:dyDescent="0.2">
      <c r="A343" s="77"/>
      <c r="B343" s="77"/>
      <c r="C343" s="75"/>
      <c r="D343" s="75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spans="1:26" ht="14" x14ac:dyDescent="0.2">
      <c r="A344" s="77"/>
      <c r="B344" s="77"/>
      <c r="C344" s="75"/>
      <c r="D344" s="75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spans="1:26" ht="14" x14ac:dyDescent="0.2">
      <c r="A345" s="77"/>
      <c r="B345" s="77"/>
      <c r="C345" s="75"/>
      <c r="D345" s="75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spans="1:26" ht="14" x14ac:dyDescent="0.2">
      <c r="A346" s="77"/>
      <c r="B346" s="77"/>
      <c r="C346" s="75"/>
      <c r="D346" s="75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spans="1:26" ht="14" x14ac:dyDescent="0.2">
      <c r="A347" s="77"/>
      <c r="B347" s="77"/>
      <c r="C347" s="75"/>
      <c r="D347" s="75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spans="1:26" ht="14" x14ac:dyDescent="0.2">
      <c r="A348" s="77"/>
      <c r="B348" s="77"/>
      <c r="C348" s="75"/>
      <c r="D348" s="75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spans="1:26" ht="14" x14ac:dyDescent="0.2">
      <c r="A349" s="77"/>
      <c r="B349" s="77"/>
      <c r="C349" s="75"/>
      <c r="D349" s="75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spans="1:26" ht="14" x14ac:dyDescent="0.2">
      <c r="A350" s="77"/>
      <c r="B350" s="77"/>
      <c r="C350" s="75"/>
      <c r="D350" s="75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4" x14ac:dyDescent="0.2">
      <c r="A351" s="77"/>
      <c r="B351" s="77"/>
      <c r="C351" s="75"/>
      <c r="D351" s="75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spans="1:26" ht="14" x14ac:dyDescent="0.2">
      <c r="A352" s="77"/>
      <c r="B352" s="77"/>
      <c r="C352" s="75"/>
      <c r="D352" s="75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spans="1:26" ht="14" x14ac:dyDescent="0.2">
      <c r="A353" s="77"/>
      <c r="B353" s="77"/>
      <c r="C353" s="75"/>
      <c r="D353" s="75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spans="1:26" ht="14" x14ac:dyDescent="0.2">
      <c r="A354" s="77"/>
      <c r="B354" s="77"/>
      <c r="C354" s="75"/>
      <c r="D354" s="75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spans="1:26" ht="14" x14ac:dyDescent="0.2">
      <c r="A355" s="77"/>
      <c r="B355" s="77"/>
      <c r="C355" s="75"/>
      <c r="D355" s="75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spans="1:26" ht="14" x14ac:dyDescent="0.2">
      <c r="A356" s="77"/>
      <c r="B356" s="77"/>
      <c r="C356" s="75"/>
      <c r="D356" s="75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spans="1:26" ht="14" x14ac:dyDescent="0.2">
      <c r="A357" s="77"/>
      <c r="B357" s="77"/>
      <c r="C357" s="75"/>
      <c r="D357" s="75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spans="1:26" ht="14" x14ac:dyDescent="0.2">
      <c r="A358" s="77"/>
      <c r="B358" s="77"/>
      <c r="C358" s="75"/>
      <c r="D358" s="75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spans="1:26" ht="14" x14ac:dyDescent="0.2">
      <c r="A359" s="77"/>
      <c r="B359" s="77"/>
      <c r="C359" s="75"/>
      <c r="D359" s="75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spans="1:26" ht="14" x14ac:dyDescent="0.2">
      <c r="A360" s="77"/>
      <c r="B360" s="77"/>
      <c r="C360" s="75"/>
      <c r="D360" s="75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spans="1:26" ht="14" x14ac:dyDescent="0.2">
      <c r="A361" s="77"/>
      <c r="B361" s="77"/>
      <c r="C361" s="75"/>
      <c r="D361" s="75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spans="1:26" ht="14" x14ac:dyDescent="0.2">
      <c r="A362" s="77"/>
      <c r="B362" s="77"/>
      <c r="C362" s="75"/>
      <c r="D362" s="75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spans="1:26" ht="14" x14ac:dyDescent="0.2">
      <c r="A363" s="77"/>
      <c r="B363" s="77"/>
      <c r="C363" s="75"/>
      <c r="D363" s="75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spans="1:26" ht="14" x14ac:dyDescent="0.2">
      <c r="A364" s="77"/>
      <c r="B364" s="77"/>
      <c r="C364" s="75"/>
      <c r="D364" s="75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spans="1:26" ht="14" x14ac:dyDescent="0.2">
      <c r="A365" s="77"/>
      <c r="B365" s="77"/>
      <c r="C365" s="75"/>
      <c r="D365" s="75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spans="1:26" ht="14" x14ac:dyDescent="0.2">
      <c r="A366" s="77"/>
      <c r="B366" s="77"/>
      <c r="C366" s="75"/>
      <c r="D366" s="75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spans="1:26" ht="14" x14ac:dyDescent="0.2">
      <c r="A367" s="77"/>
      <c r="B367" s="77"/>
      <c r="C367" s="75"/>
      <c r="D367" s="75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spans="1:26" ht="14" x14ac:dyDescent="0.2">
      <c r="A368" s="77"/>
      <c r="B368" s="77"/>
      <c r="C368" s="75"/>
      <c r="D368" s="75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spans="1:26" ht="14" x14ac:dyDescent="0.2">
      <c r="A369" s="77"/>
      <c r="B369" s="77"/>
      <c r="C369" s="75"/>
      <c r="D369" s="75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spans="1:26" ht="14" x14ac:dyDescent="0.2">
      <c r="A370" s="77"/>
      <c r="B370" s="77"/>
      <c r="C370" s="75"/>
      <c r="D370" s="75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spans="1:26" ht="14" x14ac:dyDescent="0.2">
      <c r="A371" s="77"/>
      <c r="B371" s="77"/>
      <c r="C371" s="75"/>
      <c r="D371" s="75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spans="1:26" ht="14" x14ac:dyDescent="0.2">
      <c r="A372" s="77"/>
      <c r="B372" s="77"/>
      <c r="C372" s="75"/>
      <c r="D372" s="75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spans="1:26" ht="14" x14ac:dyDescent="0.2">
      <c r="A373" s="77"/>
      <c r="B373" s="77"/>
      <c r="C373" s="75"/>
      <c r="D373" s="75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spans="1:26" ht="14" x14ac:dyDescent="0.2">
      <c r="A374" s="77"/>
      <c r="B374" s="77"/>
      <c r="C374" s="75"/>
      <c r="D374" s="75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spans="1:26" ht="14" x14ac:dyDescent="0.2">
      <c r="A375" s="77"/>
      <c r="B375" s="77"/>
      <c r="C375" s="75"/>
      <c r="D375" s="75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spans="1:26" ht="14" x14ac:dyDescent="0.2">
      <c r="A376" s="77"/>
      <c r="B376" s="77"/>
      <c r="C376" s="75"/>
      <c r="D376" s="75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spans="1:26" ht="14" x14ac:dyDescent="0.2">
      <c r="A377" s="77"/>
      <c r="B377" s="77"/>
      <c r="C377" s="75"/>
      <c r="D377" s="75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spans="1:26" ht="14" x14ac:dyDescent="0.2">
      <c r="A378" s="77"/>
      <c r="B378" s="77"/>
      <c r="C378" s="75"/>
      <c r="D378" s="75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spans="1:26" ht="14" x14ac:dyDescent="0.2">
      <c r="A379" s="77"/>
      <c r="B379" s="77"/>
      <c r="C379" s="75"/>
      <c r="D379" s="75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spans="1:26" ht="14" x14ac:dyDescent="0.2">
      <c r="A380" s="77"/>
      <c r="B380" s="77"/>
      <c r="C380" s="75"/>
      <c r="D380" s="75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spans="1:26" ht="14" x14ac:dyDescent="0.2">
      <c r="A381" s="77"/>
      <c r="B381" s="77"/>
      <c r="C381" s="75"/>
      <c r="D381" s="75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spans="1:26" ht="14" x14ac:dyDescent="0.2">
      <c r="A382" s="77"/>
      <c r="B382" s="77"/>
      <c r="C382" s="75"/>
      <c r="D382" s="75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spans="1:26" ht="14" x14ac:dyDescent="0.2">
      <c r="A383" s="77"/>
      <c r="B383" s="77"/>
      <c r="C383" s="75"/>
      <c r="D383" s="75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spans="1:26" ht="14" x14ac:dyDescent="0.2">
      <c r="A384" s="77"/>
      <c r="B384" s="77"/>
      <c r="C384" s="75"/>
      <c r="D384" s="75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spans="1:26" ht="14" x14ac:dyDescent="0.2">
      <c r="A385" s="77"/>
      <c r="B385" s="77"/>
      <c r="C385" s="75"/>
      <c r="D385" s="75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spans="1:26" ht="14" x14ac:dyDescent="0.2">
      <c r="A386" s="77"/>
      <c r="B386" s="77"/>
      <c r="C386" s="75"/>
      <c r="D386" s="75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spans="1:26" ht="14" x14ac:dyDescent="0.2">
      <c r="A387" s="77"/>
      <c r="B387" s="77"/>
      <c r="C387" s="75"/>
      <c r="D387" s="75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4" x14ac:dyDescent="0.2">
      <c r="A388" s="77"/>
      <c r="B388" s="77"/>
      <c r="C388" s="75"/>
      <c r="D388" s="75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spans="1:26" ht="14" x14ac:dyDescent="0.2">
      <c r="A389" s="77"/>
      <c r="B389" s="77"/>
      <c r="C389" s="75"/>
      <c r="D389" s="75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spans="1:26" ht="14" x14ac:dyDescent="0.2">
      <c r="A390" s="77"/>
      <c r="B390" s="77"/>
      <c r="C390" s="75"/>
      <c r="D390" s="75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spans="1:26" ht="14" x14ac:dyDescent="0.2">
      <c r="A391" s="77"/>
      <c r="B391" s="77"/>
      <c r="C391" s="75"/>
      <c r="D391" s="75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spans="1:26" ht="14" x14ac:dyDescent="0.2">
      <c r="A392" s="77"/>
      <c r="B392" s="77"/>
      <c r="C392" s="75"/>
      <c r="D392" s="75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spans="1:26" ht="14" x14ac:dyDescent="0.2">
      <c r="A393" s="77"/>
      <c r="B393" s="77"/>
      <c r="C393" s="75"/>
      <c r="D393" s="75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spans="1:26" ht="14" x14ac:dyDescent="0.2">
      <c r="A394" s="77"/>
      <c r="B394" s="77"/>
      <c r="C394" s="75"/>
      <c r="D394" s="75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spans="1:26" ht="14" x14ac:dyDescent="0.2">
      <c r="A395" s="77"/>
      <c r="B395" s="77"/>
      <c r="C395" s="75"/>
      <c r="D395" s="75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spans="1:26" ht="14" x14ac:dyDescent="0.2">
      <c r="A396" s="77"/>
      <c r="B396" s="77"/>
      <c r="C396" s="75"/>
      <c r="D396" s="75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spans="1:26" ht="14" x14ac:dyDescent="0.2">
      <c r="A397" s="77"/>
      <c r="B397" s="77"/>
      <c r="C397" s="75"/>
      <c r="D397" s="75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spans="1:26" ht="14" x14ac:dyDescent="0.2">
      <c r="A398" s="77"/>
      <c r="B398" s="77"/>
      <c r="C398" s="75"/>
      <c r="D398" s="75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spans="1:26" ht="14" x14ac:dyDescent="0.2">
      <c r="A399" s="77"/>
      <c r="B399" s="77"/>
      <c r="C399" s="75"/>
      <c r="D399" s="75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spans="1:26" ht="14" x14ac:dyDescent="0.2">
      <c r="A400" s="77"/>
      <c r="B400" s="77"/>
      <c r="C400" s="75"/>
      <c r="D400" s="75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spans="1:26" ht="14" x14ac:dyDescent="0.2">
      <c r="A401" s="77"/>
      <c r="B401" s="77"/>
      <c r="C401" s="75"/>
      <c r="D401" s="75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spans="1:26" ht="14" x14ac:dyDescent="0.2">
      <c r="A402" s="77"/>
      <c r="B402" s="77"/>
      <c r="C402" s="75"/>
      <c r="D402" s="75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spans="1:26" ht="14" x14ac:dyDescent="0.2">
      <c r="A403" s="77"/>
      <c r="B403" s="77"/>
      <c r="C403" s="75"/>
      <c r="D403" s="75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spans="1:26" ht="14" x14ac:dyDescent="0.2">
      <c r="A404" s="77"/>
      <c r="B404" s="77"/>
      <c r="C404" s="75"/>
      <c r="D404" s="75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spans="1:26" ht="14" x14ac:dyDescent="0.2">
      <c r="A405" s="77"/>
      <c r="B405" s="77"/>
      <c r="C405" s="75"/>
      <c r="D405" s="75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 spans="1:26" ht="14" x14ac:dyDescent="0.2">
      <c r="A406" s="77"/>
      <c r="B406" s="77"/>
      <c r="C406" s="75"/>
      <c r="D406" s="75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 spans="1:26" ht="14" x14ac:dyDescent="0.2">
      <c r="A407" s="77"/>
      <c r="B407" s="77"/>
      <c r="C407" s="75"/>
      <c r="D407" s="75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 spans="1:26" ht="14" x14ac:dyDescent="0.2">
      <c r="A408" s="77"/>
      <c r="B408" s="77"/>
      <c r="C408" s="75"/>
      <c r="D408" s="75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 spans="1:26" ht="14" x14ac:dyDescent="0.2">
      <c r="A409" s="77"/>
      <c r="B409" s="77"/>
      <c r="C409" s="75"/>
      <c r="D409" s="75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 spans="1:26" ht="14" x14ac:dyDescent="0.2">
      <c r="A410" s="77"/>
      <c r="B410" s="77"/>
      <c r="C410" s="75"/>
      <c r="D410" s="75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 spans="1:26" ht="14" x14ac:dyDescent="0.2">
      <c r="A411" s="77"/>
      <c r="B411" s="77"/>
      <c r="C411" s="75"/>
      <c r="D411" s="75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 spans="1:26" ht="14" x14ac:dyDescent="0.2">
      <c r="A412" s="77"/>
      <c r="B412" s="77"/>
      <c r="C412" s="75"/>
      <c r="D412" s="75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 spans="1:26" ht="14" x14ac:dyDescent="0.2">
      <c r="A413" s="77"/>
      <c r="B413" s="77"/>
      <c r="C413" s="75"/>
      <c r="D413" s="75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4" x14ac:dyDescent="0.2">
      <c r="A414" s="77"/>
      <c r="B414" s="77"/>
      <c r="C414" s="75"/>
      <c r="D414" s="75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 spans="1:26" ht="14" x14ac:dyDescent="0.2">
      <c r="A415" s="77"/>
      <c r="B415" s="77"/>
      <c r="C415" s="75"/>
      <c r="D415" s="75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 spans="1:26" ht="14" x14ac:dyDescent="0.2">
      <c r="A416" s="77"/>
      <c r="B416" s="77"/>
      <c r="C416" s="75"/>
      <c r="D416" s="75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 spans="1:26" ht="14" x14ac:dyDescent="0.2">
      <c r="A417" s="77"/>
      <c r="B417" s="77"/>
      <c r="C417" s="75"/>
      <c r="D417" s="75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 spans="1:26" ht="14" x14ac:dyDescent="0.2">
      <c r="A418" s="77"/>
      <c r="B418" s="77"/>
      <c r="C418" s="75"/>
      <c r="D418" s="75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 spans="1:26" ht="14" x14ac:dyDescent="0.2">
      <c r="A419" s="77"/>
      <c r="B419" s="77"/>
      <c r="C419" s="75"/>
      <c r="D419" s="75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 spans="1:26" ht="14" x14ac:dyDescent="0.2">
      <c r="A420" s="77"/>
      <c r="B420" s="77"/>
      <c r="C420" s="75"/>
      <c r="D420" s="75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 spans="1:26" ht="14" x14ac:dyDescent="0.2">
      <c r="A421" s="77"/>
      <c r="B421" s="77"/>
      <c r="C421" s="75"/>
      <c r="D421" s="75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 spans="1:26" ht="14" x14ac:dyDescent="0.2">
      <c r="A422" s="77"/>
      <c r="B422" s="77"/>
      <c r="C422" s="75"/>
      <c r="D422" s="75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 spans="1:26" ht="14" x14ac:dyDescent="0.2">
      <c r="A423" s="77"/>
      <c r="B423" s="77"/>
      <c r="C423" s="75"/>
      <c r="D423" s="75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 spans="1:26" ht="14" x14ac:dyDescent="0.2">
      <c r="A424" s="77"/>
      <c r="B424" s="77"/>
      <c r="C424" s="75"/>
      <c r="D424" s="75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 spans="1:26" ht="14" x14ac:dyDescent="0.2">
      <c r="A425" s="77"/>
      <c r="B425" s="77"/>
      <c r="C425" s="75"/>
      <c r="D425" s="75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 spans="1:26" ht="14" x14ac:dyDescent="0.2">
      <c r="A426" s="77"/>
      <c r="B426" s="77"/>
      <c r="C426" s="75"/>
      <c r="D426" s="75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 spans="1:26" ht="14" x14ac:dyDescent="0.2">
      <c r="A427" s="77"/>
      <c r="B427" s="77"/>
      <c r="C427" s="75"/>
      <c r="D427" s="75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 spans="1:26" ht="14" x14ac:dyDescent="0.2">
      <c r="A428" s="77"/>
      <c r="B428" s="77"/>
      <c r="C428" s="75"/>
      <c r="D428" s="75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 spans="1:26" ht="14" x14ac:dyDescent="0.2">
      <c r="A429" s="77"/>
      <c r="B429" s="77"/>
      <c r="C429" s="75"/>
      <c r="D429" s="75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 spans="1:26" ht="14" x14ac:dyDescent="0.2">
      <c r="A430" s="77"/>
      <c r="B430" s="77"/>
      <c r="C430" s="75"/>
      <c r="D430" s="75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 spans="1:26" ht="14" x14ac:dyDescent="0.2">
      <c r="A431" s="77"/>
      <c r="B431" s="77"/>
      <c r="C431" s="75"/>
      <c r="D431" s="75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 spans="1:26" ht="14" x14ac:dyDescent="0.2">
      <c r="A432" s="77"/>
      <c r="B432" s="77"/>
      <c r="C432" s="75"/>
      <c r="D432" s="75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 spans="1:26" ht="14" x14ac:dyDescent="0.2">
      <c r="A433" s="77"/>
      <c r="B433" s="77"/>
      <c r="C433" s="75"/>
      <c r="D433" s="75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 spans="1:26" ht="14" x14ac:dyDescent="0.2">
      <c r="A434" s="77"/>
      <c r="B434" s="77"/>
      <c r="C434" s="75"/>
      <c r="D434" s="75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 spans="1:26" ht="14" x14ac:dyDescent="0.2">
      <c r="A435" s="77"/>
      <c r="B435" s="77"/>
      <c r="C435" s="75"/>
      <c r="D435" s="75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 spans="1:26" ht="14" x14ac:dyDescent="0.2">
      <c r="A436" s="77"/>
      <c r="B436" s="77"/>
      <c r="C436" s="75"/>
      <c r="D436" s="75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 spans="1:26" ht="14" x14ac:dyDescent="0.2">
      <c r="A437" s="77"/>
      <c r="B437" s="77"/>
      <c r="C437" s="75"/>
      <c r="D437" s="75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 spans="1:26" ht="14" x14ac:dyDescent="0.2">
      <c r="A438" s="77"/>
      <c r="B438" s="77"/>
      <c r="C438" s="75"/>
      <c r="D438" s="75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 spans="1:26" ht="14" x14ac:dyDescent="0.2">
      <c r="A439" s="77"/>
      <c r="B439" s="77"/>
      <c r="C439" s="75"/>
      <c r="D439" s="75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 spans="1:26" ht="14" x14ac:dyDescent="0.2">
      <c r="A440" s="77"/>
      <c r="B440" s="77"/>
      <c r="C440" s="75"/>
      <c r="D440" s="75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 spans="1:26" ht="14" x14ac:dyDescent="0.2">
      <c r="A441" s="77"/>
      <c r="B441" s="77"/>
      <c r="C441" s="75"/>
      <c r="D441" s="75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 spans="1:26" ht="14" x14ac:dyDescent="0.2">
      <c r="A442" s="77"/>
      <c r="B442" s="77"/>
      <c r="C442" s="75"/>
      <c r="D442" s="75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 spans="1:26" ht="14" x14ac:dyDescent="0.2">
      <c r="A443" s="77"/>
      <c r="B443" s="77"/>
      <c r="C443" s="75"/>
      <c r="D443" s="75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 spans="1:26" ht="14" x14ac:dyDescent="0.2">
      <c r="A444" s="77"/>
      <c r="B444" s="77"/>
      <c r="C444" s="75"/>
      <c r="D444" s="75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 spans="1:26" ht="14" x14ac:dyDescent="0.2">
      <c r="A445" s="77"/>
      <c r="B445" s="77"/>
      <c r="C445" s="75"/>
      <c r="D445" s="75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 spans="1:26" ht="14" x14ac:dyDescent="0.2">
      <c r="A446" s="77"/>
      <c r="B446" s="77"/>
      <c r="C446" s="75"/>
      <c r="D446" s="75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 spans="1:26" ht="14" x14ac:dyDescent="0.2">
      <c r="A447" s="77"/>
      <c r="B447" s="77"/>
      <c r="C447" s="75"/>
      <c r="D447" s="75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 spans="1:26" ht="14" x14ac:dyDescent="0.2">
      <c r="A448" s="77"/>
      <c r="B448" s="77"/>
      <c r="C448" s="75"/>
      <c r="D448" s="75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 spans="1:26" ht="14" x14ac:dyDescent="0.2">
      <c r="A449" s="77"/>
      <c r="B449" s="77"/>
      <c r="C449" s="75"/>
      <c r="D449" s="75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 spans="1:26" ht="14" x14ac:dyDescent="0.2">
      <c r="A450" s="77"/>
      <c r="B450" s="77"/>
      <c r="C450" s="75"/>
      <c r="D450" s="75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 spans="1:26" ht="14" x14ac:dyDescent="0.2">
      <c r="A451" s="77"/>
      <c r="B451" s="77"/>
      <c r="C451" s="75"/>
      <c r="D451" s="75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 spans="1:26" ht="14" x14ac:dyDescent="0.2">
      <c r="A452" s="77"/>
      <c r="B452" s="77"/>
      <c r="C452" s="75"/>
      <c r="D452" s="75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 spans="1:26" ht="14" x14ac:dyDescent="0.2">
      <c r="A453" s="77"/>
      <c r="B453" s="77"/>
      <c r="C453" s="75"/>
      <c r="D453" s="75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 spans="1:26" ht="14" x14ac:dyDescent="0.2">
      <c r="A454" s="77"/>
      <c r="B454" s="77"/>
      <c r="C454" s="75"/>
      <c r="D454" s="75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 spans="1:26" ht="14" x14ac:dyDescent="0.2">
      <c r="A455" s="77"/>
      <c r="B455" s="77"/>
      <c r="C455" s="75"/>
      <c r="D455" s="75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 spans="1:26" ht="14" x14ac:dyDescent="0.2">
      <c r="A456" s="77"/>
      <c r="B456" s="77"/>
      <c r="C456" s="75"/>
      <c r="D456" s="75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 spans="1:26" ht="14" x14ac:dyDescent="0.2">
      <c r="A457" s="77"/>
      <c r="B457" s="77"/>
      <c r="C457" s="75"/>
      <c r="D457" s="75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 spans="1:26" ht="14" x14ac:dyDescent="0.2">
      <c r="A458" s="77"/>
      <c r="B458" s="77"/>
      <c r="C458" s="75"/>
      <c r="D458" s="75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 spans="1:26" ht="14" x14ac:dyDescent="0.2">
      <c r="A459" s="77"/>
      <c r="B459" s="77"/>
      <c r="C459" s="75"/>
      <c r="D459" s="75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 spans="1:26" ht="14" x14ac:dyDescent="0.2">
      <c r="A460" s="77"/>
      <c r="B460" s="77"/>
      <c r="C460" s="75"/>
      <c r="D460" s="75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 spans="1:26" ht="14" x14ac:dyDescent="0.2">
      <c r="A461" s="77"/>
      <c r="B461" s="77"/>
      <c r="C461" s="75"/>
      <c r="D461" s="75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 spans="1:26" ht="14" x14ac:dyDescent="0.2">
      <c r="A462" s="77"/>
      <c r="B462" s="77"/>
      <c r="C462" s="75"/>
      <c r="D462" s="75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 spans="1:26" ht="14" x14ac:dyDescent="0.2">
      <c r="A463" s="77"/>
      <c r="B463" s="77"/>
      <c r="C463" s="75"/>
      <c r="D463" s="75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 spans="1:26" ht="14" x14ac:dyDescent="0.2">
      <c r="A464" s="77"/>
      <c r="B464" s="77"/>
      <c r="C464" s="75"/>
      <c r="D464" s="75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 spans="1:26" ht="14" x14ac:dyDescent="0.2">
      <c r="A465" s="77"/>
      <c r="B465" s="77"/>
      <c r="C465" s="75"/>
      <c r="D465" s="75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 spans="1:26" ht="14" x14ac:dyDescent="0.2">
      <c r="A466" s="77"/>
      <c r="B466" s="77"/>
      <c r="C466" s="75"/>
      <c r="D466" s="75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 spans="1:26" ht="14" x14ac:dyDescent="0.2">
      <c r="A467" s="77"/>
      <c r="B467" s="77"/>
      <c r="C467" s="75"/>
      <c r="D467" s="75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 spans="1:26" ht="14" x14ac:dyDescent="0.2">
      <c r="A468" s="77"/>
      <c r="B468" s="77"/>
      <c r="C468" s="75"/>
      <c r="D468" s="75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 spans="1:26" ht="14" x14ac:dyDescent="0.2">
      <c r="A469" s="77"/>
      <c r="B469" s="77"/>
      <c r="C469" s="75"/>
      <c r="D469" s="75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 spans="1:26" ht="14" x14ac:dyDescent="0.2">
      <c r="A470" s="77"/>
      <c r="B470" s="77"/>
      <c r="C470" s="75"/>
      <c r="D470" s="75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 spans="1:26" ht="14" x14ac:dyDescent="0.2">
      <c r="A471" s="77"/>
      <c r="B471" s="77"/>
      <c r="C471" s="75"/>
      <c r="D471" s="75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 spans="1:26" ht="14" x14ac:dyDescent="0.2">
      <c r="A472" s="77"/>
      <c r="B472" s="77"/>
      <c r="C472" s="75"/>
      <c r="D472" s="75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 spans="1:26" ht="14" x14ac:dyDescent="0.2">
      <c r="A473" s="77"/>
      <c r="B473" s="77"/>
      <c r="C473" s="75"/>
      <c r="D473" s="75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 spans="1:26" ht="14" x14ac:dyDescent="0.2">
      <c r="A474" s="77"/>
      <c r="B474" s="77"/>
      <c r="C474" s="75"/>
      <c r="D474" s="75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 spans="1:26" ht="14" x14ac:dyDescent="0.2">
      <c r="A475" s="77"/>
      <c r="B475" s="77"/>
      <c r="C475" s="75"/>
      <c r="D475" s="75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 spans="1:26" ht="14" x14ac:dyDescent="0.2">
      <c r="A476" s="77"/>
      <c r="B476" s="77"/>
      <c r="C476" s="75"/>
      <c r="D476" s="75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 spans="1:26" ht="14" x14ac:dyDescent="0.2">
      <c r="A477" s="77"/>
      <c r="B477" s="77"/>
      <c r="C477" s="75"/>
      <c r="D477" s="75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 spans="1:26" ht="14" x14ac:dyDescent="0.2">
      <c r="A478" s="77"/>
      <c r="B478" s="77"/>
      <c r="C478" s="75"/>
      <c r="D478" s="75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 spans="1:26" ht="14" x14ac:dyDescent="0.2">
      <c r="A479" s="77"/>
      <c r="B479" s="77"/>
      <c r="C479" s="75"/>
      <c r="D479" s="75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 spans="1:26" ht="14" x14ac:dyDescent="0.2">
      <c r="A480" s="77"/>
      <c r="B480" s="77"/>
      <c r="C480" s="75"/>
      <c r="D480" s="75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 spans="1:26" ht="14" x14ac:dyDescent="0.2">
      <c r="A481" s="77"/>
      <c r="B481" s="77"/>
      <c r="C481" s="75"/>
      <c r="D481" s="75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 spans="1:26" ht="14" x14ac:dyDescent="0.2">
      <c r="A482" s="77"/>
      <c r="B482" s="77"/>
      <c r="C482" s="75"/>
      <c r="D482" s="75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 spans="1:26" ht="14" x14ac:dyDescent="0.2">
      <c r="A483" s="77"/>
      <c r="B483" s="77"/>
      <c r="C483" s="75"/>
      <c r="D483" s="75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 spans="1:26" ht="14" x14ac:dyDescent="0.2">
      <c r="A484" s="77"/>
      <c r="B484" s="77"/>
      <c r="C484" s="75"/>
      <c r="D484" s="75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 spans="1:26" ht="14" x14ac:dyDescent="0.2">
      <c r="A485" s="77"/>
      <c r="B485" s="77"/>
      <c r="C485" s="75"/>
      <c r="D485" s="75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 spans="1:26" ht="14" x14ac:dyDescent="0.2">
      <c r="A486" s="77"/>
      <c r="B486" s="77"/>
      <c r="C486" s="75"/>
      <c r="D486" s="75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 spans="1:26" ht="14" x14ac:dyDescent="0.2">
      <c r="A487" s="77"/>
      <c r="B487" s="77"/>
      <c r="C487" s="75"/>
      <c r="D487" s="75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 spans="1:26" ht="14" x14ac:dyDescent="0.2">
      <c r="A488" s="77"/>
      <c r="B488" s="77"/>
      <c r="C488" s="75"/>
      <c r="D488" s="75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 spans="1:26" ht="14" x14ac:dyDescent="0.2">
      <c r="A489" s="77"/>
      <c r="B489" s="77"/>
      <c r="C489" s="75"/>
      <c r="D489" s="75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 spans="1:26" ht="14" x14ac:dyDescent="0.2">
      <c r="A490" s="77"/>
      <c r="B490" s="77"/>
      <c r="C490" s="75"/>
      <c r="D490" s="75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 spans="1:26" ht="14" x14ac:dyDescent="0.2">
      <c r="A491" s="77"/>
      <c r="B491" s="77"/>
      <c r="C491" s="75"/>
      <c r="D491" s="75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 spans="1:26" ht="14" x14ac:dyDescent="0.2">
      <c r="A492" s="77"/>
      <c r="B492" s="77"/>
      <c r="C492" s="75"/>
      <c r="D492" s="75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 spans="1:26" ht="14" x14ac:dyDescent="0.2">
      <c r="A493" s="77"/>
      <c r="B493" s="77"/>
      <c r="C493" s="75"/>
      <c r="D493" s="75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 spans="1:26" ht="14" x14ac:dyDescent="0.2">
      <c r="A494" s="77"/>
      <c r="B494" s="77"/>
      <c r="C494" s="75"/>
      <c r="D494" s="75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 spans="1:26" ht="14" x14ac:dyDescent="0.2">
      <c r="A495" s="77"/>
      <c r="B495" s="77"/>
      <c r="C495" s="75"/>
      <c r="D495" s="75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 spans="1:26" ht="14" x14ac:dyDescent="0.2">
      <c r="A496" s="77"/>
      <c r="B496" s="77"/>
      <c r="C496" s="75"/>
      <c r="D496" s="75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 spans="1:26" ht="14" x14ac:dyDescent="0.2">
      <c r="A497" s="77"/>
      <c r="B497" s="77"/>
      <c r="C497" s="75"/>
      <c r="D497" s="75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 spans="1:26" ht="14" x14ac:dyDescent="0.2">
      <c r="A498" s="77"/>
      <c r="B498" s="77"/>
      <c r="C498" s="75"/>
      <c r="D498" s="75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 spans="1:26" ht="14" x14ac:dyDescent="0.2">
      <c r="A499" s="77"/>
      <c r="B499" s="77"/>
      <c r="C499" s="75"/>
      <c r="D499" s="75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 spans="1:26" ht="14" x14ac:dyDescent="0.2">
      <c r="A500" s="77"/>
      <c r="B500" s="77"/>
      <c r="C500" s="75"/>
      <c r="D500" s="75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 spans="1:26" ht="14" x14ac:dyDescent="0.2">
      <c r="A501" s="77"/>
      <c r="B501" s="77"/>
      <c r="C501" s="75"/>
      <c r="D501" s="75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 spans="1:26" ht="14" x14ac:dyDescent="0.2">
      <c r="A502" s="77"/>
      <c r="B502" s="77"/>
      <c r="C502" s="75"/>
      <c r="D502" s="75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 spans="1:26" ht="14" x14ac:dyDescent="0.2">
      <c r="A503" s="77"/>
      <c r="B503" s="77"/>
      <c r="C503" s="75"/>
      <c r="D503" s="75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 spans="1:26" ht="14" x14ac:dyDescent="0.2">
      <c r="A504" s="77"/>
      <c r="B504" s="77"/>
      <c r="C504" s="75"/>
      <c r="D504" s="75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 spans="1:26" ht="14" x14ac:dyDescent="0.2">
      <c r="A505" s="77"/>
      <c r="B505" s="77"/>
      <c r="C505" s="75"/>
      <c r="D505" s="75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 spans="1:26" ht="14" x14ac:dyDescent="0.2">
      <c r="A506" s="77"/>
      <c r="B506" s="77"/>
      <c r="C506" s="75"/>
      <c r="D506" s="75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 spans="1:26" ht="14" x14ac:dyDescent="0.2">
      <c r="A507" s="77"/>
      <c r="B507" s="77"/>
      <c r="C507" s="75"/>
      <c r="D507" s="75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 spans="1:26" ht="14" x14ac:dyDescent="0.2">
      <c r="A508" s="77"/>
      <c r="B508" s="77"/>
      <c r="C508" s="75"/>
      <c r="D508" s="75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 spans="1:26" ht="14" x14ac:dyDescent="0.2">
      <c r="A509" s="77"/>
      <c r="B509" s="77"/>
      <c r="C509" s="75"/>
      <c r="D509" s="75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 spans="1:26" ht="14" x14ac:dyDescent="0.2">
      <c r="A510" s="77"/>
      <c r="B510" s="77"/>
      <c r="C510" s="75"/>
      <c r="D510" s="75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 spans="1:26" ht="14" x14ac:dyDescent="0.2">
      <c r="A511" s="77"/>
      <c r="B511" s="77"/>
      <c r="C511" s="75"/>
      <c r="D511" s="75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 spans="1:26" ht="14" x14ac:dyDescent="0.2">
      <c r="A512" s="77"/>
      <c r="B512" s="77"/>
      <c r="C512" s="75"/>
      <c r="D512" s="75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 spans="1:26" ht="14" x14ac:dyDescent="0.2">
      <c r="A513" s="77"/>
      <c r="B513" s="77"/>
      <c r="C513" s="75"/>
      <c r="D513" s="75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 spans="1:26" ht="14" x14ac:dyDescent="0.2">
      <c r="A514" s="77"/>
      <c r="B514" s="77"/>
      <c r="C514" s="75"/>
      <c r="D514" s="75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 spans="1:26" ht="14" x14ac:dyDescent="0.2">
      <c r="A515" s="77"/>
      <c r="B515" s="77"/>
      <c r="C515" s="75"/>
      <c r="D515" s="75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 spans="1:26" ht="14" x14ac:dyDescent="0.2">
      <c r="A516" s="77"/>
      <c r="B516" s="77"/>
      <c r="C516" s="75"/>
      <c r="D516" s="75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 spans="1:26" ht="14" x14ac:dyDescent="0.2">
      <c r="A517" s="77"/>
      <c r="B517" s="77"/>
      <c r="C517" s="75"/>
      <c r="D517" s="75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 spans="1:26" ht="14" x14ac:dyDescent="0.2">
      <c r="A518" s="77"/>
      <c r="B518" s="77"/>
      <c r="C518" s="75"/>
      <c r="D518" s="75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 spans="1:26" ht="14" x14ac:dyDescent="0.2">
      <c r="A519" s="77"/>
      <c r="B519" s="77"/>
      <c r="C519" s="75"/>
      <c r="D519" s="75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 spans="1:26" ht="14" x14ac:dyDescent="0.2">
      <c r="A520" s="77"/>
      <c r="B520" s="77"/>
      <c r="C520" s="75"/>
      <c r="D520" s="75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 spans="1:26" ht="14" x14ac:dyDescent="0.2">
      <c r="A521" s="77"/>
      <c r="B521" s="77"/>
      <c r="C521" s="75"/>
      <c r="D521" s="75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 spans="1:26" ht="14" x14ac:dyDescent="0.2">
      <c r="A522" s="77"/>
      <c r="B522" s="77"/>
      <c r="C522" s="75"/>
      <c r="D522" s="75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 spans="1:26" ht="14" x14ac:dyDescent="0.2">
      <c r="A523" s="77"/>
      <c r="B523" s="77"/>
      <c r="C523" s="75"/>
      <c r="D523" s="75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 spans="1:26" ht="14" x14ac:dyDescent="0.2">
      <c r="A524" s="77"/>
      <c r="B524" s="77"/>
      <c r="C524" s="75"/>
      <c r="D524" s="75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 spans="1:26" ht="14" x14ac:dyDescent="0.2">
      <c r="A525" s="77"/>
      <c r="B525" s="77"/>
      <c r="C525" s="75"/>
      <c r="D525" s="75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 spans="1:26" ht="14" x14ac:dyDescent="0.2">
      <c r="A526" s="77"/>
      <c r="B526" s="77"/>
      <c r="C526" s="75"/>
      <c r="D526" s="75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 spans="1:26" ht="14" x14ac:dyDescent="0.2">
      <c r="A527" s="77"/>
      <c r="B527" s="77"/>
      <c r="C527" s="75"/>
      <c r="D527" s="75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 spans="1:26" ht="14" x14ac:dyDescent="0.2">
      <c r="A528" s="77"/>
      <c r="B528" s="77"/>
      <c r="C528" s="75"/>
      <c r="D528" s="75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 spans="1:26" ht="14" x14ac:dyDescent="0.2">
      <c r="A529" s="77"/>
      <c r="B529" s="77"/>
      <c r="C529" s="75"/>
      <c r="D529" s="75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 spans="1:26" ht="14" x14ac:dyDescent="0.2">
      <c r="A530" s="77"/>
      <c r="B530" s="77"/>
      <c r="C530" s="75"/>
      <c r="D530" s="75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 spans="1:26" ht="14" x14ac:dyDescent="0.2">
      <c r="A531" s="77"/>
      <c r="B531" s="77"/>
      <c r="C531" s="75"/>
      <c r="D531" s="75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 spans="1:26" ht="14" x14ac:dyDescent="0.2">
      <c r="A532" s="77"/>
      <c r="B532" s="77"/>
      <c r="C532" s="75"/>
      <c r="D532" s="75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 spans="1:26" ht="14" x14ac:dyDescent="0.2">
      <c r="A533" s="77"/>
      <c r="B533" s="77"/>
      <c r="C533" s="75"/>
      <c r="D533" s="75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 spans="1:26" ht="14" x14ac:dyDescent="0.2">
      <c r="A534" s="77"/>
      <c r="B534" s="77"/>
      <c r="C534" s="75"/>
      <c r="D534" s="75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 spans="1:26" ht="14" x14ac:dyDescent="0.2">
      <c r="A535" s="77"/>
      <c r="B535" s="77"/>
      <c r="C535" s="75"/>
      <c r="D535" s="75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 spans="1:26" ht="14" x14ac:dyDescent="0.2">
      <c r="A536" s="77"/>
      <c r="B536" s="77"/>
      <c r="C536" s="75"/>
      <c r="D536" s="75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 spans="1:26" ht="14" x14ac:dyDescent="0.2">
      <c r="A537" s="77"/>
      <c r="B537" s="77"/>
      <c r="C537" s="75"/>
      <c r="D537" s="75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 spans="1:26" ht="14" x14ac:dyDescent="0.2">
      <c r="A538" s="77"/>
      <c r="B538" s="77"/>
      <c r="C538" s="75"/>
      <c r="D538" s="75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 spans="1:26" ht="14" x14ac:dyDescent="0.2">
      <c r="A539" s="77"/>
      <c r="B539" s="77"/>
      <c r="C539" s="75"/>
      <c r="D539" s="75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 spans="1:26" ht="14" x14ac:dyDescent="0.2">
      <c r="A540" s="77"/>
      <c r="B540" s="77"/>
      <c r="C540" s="75"/>
      <c r="D540" s="75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 spans="1:26" ht="14" x14ac:dyDescent="0.2">
      <c r="A541" s="77"/>
      <c r="B541" s="77"/>
      <c r="C541" s="75"/>
      <c r="D541" s="75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 spans="1:26" ht="14" x14ac:dyDescent="0.2">
      <c r="A542" s="77"/>
      <c r="B542" s="77"/>
      <c r="C542" s="75"/>
      <c r="D542" s="75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 spans="1:26" ht="14" x14ac:dyDescent="0.2">
      <c r="A543" s="77"/>
      <c r="B543" s="77"/>
      <c r="C543" s="75"/>
      <c r="D543" s="75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 spans="1:26" ht="14" x14ac:dyDescent="0.2">
      <c r="A544" s="77"/>
      <c r="B544" s="77"/>
      <c r="C544" s="75"/>
      <c r="D544" s="75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 spans="1:26" ht="14" x14ac:dyDescent="0.2">
      <c r="A545" s="77"/>
      <c r="B545" s="77"/>
      <c r="C545" s="75"/>
      <c r="D545" s="75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 spans="1:26" ht="14" x14ac:dyDescent="0.2">
      <c r="A546" s="77"/>
      <c r="B546" s="77"/>
      <c r="C546" s="75"/>
      <c r="D546" s="75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 spans="1:26" ht="14" x14ac:dyDescent="0.2">
      <c r="A547" s="77"/>
      <c r="B547" s="77"/>
      <c r="C547" s="75"/>
      <c r="D547" s="75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 spans="1:26" ht="14" x14ac:dyDescent="0.2">
      <c r="A548" s="77"/>
      <c r="B548" s="77"/>
      <c r="C548" s="75"/>
      <c r="D548" s="75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 spans="1:26" ht="14" x14ac:dyDescent="0.2">
      <c r="A549" s="77"/>
      <c r="B549" s="77"/>
      <c r="C549" s="75"/>
      <c r="D549" s="75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 spans="1:26" ht="14" x14ac:dyDescent="0.2">
      <c r="A550" s="77"/>
      <c r="B550" s="77"/>
      <c r="C550" s="75"/>
      <c r="D550" s="75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 spans="1:26" ht="14" x14ac:dyDescent="0.2">
      <c r="A551" s="77"/>
      <c r="B551" s="77"/>
      <c r="C551" s="75"/>
      <c r="D551" s="75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 spans="1:26" ht="14" x14ac:dyDescent="0.2">
      <c r="A552" s="77"/>
      <c r="B552" s="77"/>
      <c r="C552" s="75"/>
      <c r="D552" s="75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 spans="1:26" ht="14" x14ac:dyDescent="0.2">
      <c r="A553" s="77"/>
      <c r="B553" s="77"/>
      <c r="C553" s="75"/>
      <c r="D553" s="75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 spans="1:26" ht="14" x14ac:dyDescent="0.2">
      <c r="A554" s="77"/>
      <c r="B554" s="77"/>
      <c r="C554" s="75"/>
      <c r="D554" s="75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 spans="1:26" ht="14" x14ac:dyDescent="0.2">
      <c r="A555" s="77"/>
      <c r="B555" s="77"/>
      <c r="C555" s="75"/>
      <c r="D555" s="75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 spans="1:26" ht="14" x14ac:dyDescent="0.2">
      <c r="A556" s="77"/>
      <c r="B556" s="77"/>
      <c r="C556" s="75"/>
      <c r="D556" s="75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 spans="1:26" ht="14" x14ac:dyDescent="0.2">
      <c r="A557" s="77"/>
      <c r="B557" s="77"/>
      <c r="C557" s="75"/>
      <c r="D557" s="75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 spans="1:26" ht="14" x14ac:dyDescent="0.2">
      <c r="A558" s="77"/>
      <c r="B558" s="77"/>
      <c r="C558" s="75"/>
      <c r="D558" s="75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 spans="1:26" ht="14" x14ac:dyDescent="0.2">
      <c r="A559" s="77"/>
      <c r="B559" s="77"/>
      <c r="C559" s="75"/>
      <c r="D559" s="75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 spans="1:26" ht="14" x14ac:dyDescent="0.2">
      <c r="A560" s="77"/>
      <c r="B560" s="77"/>
      <c r="C560" s="75"/>
      <c r="D560" s="75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 spans="1:26" ht="14" x14ac:dyDescent="0.2">
      <c r="A561" s="77"/>
      <c r="B561" s="77"/>
      <c r="C561" s="75"/>
      <c r="D561" s="75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 spans="1:26" ht="14" x14ac:dyDescent="0.2">
      <c r="A562" s="77"/>
      <c r="B562" s="77"/>
      <c r="C562" s="75"/>
      <c r="D562" s="75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 spans="1:26" ht="14" x14ac:dyDescent="0.2">
      <c r="A563" s="77"/>
      <c r="B563" s="77"/>
      <c r="C563" s="75"/>
      <c r="D563" s="75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 spans="1:26" ht="14" x14ac:dyDescent="0.2">
      <c r="A564" s="77"/>
      <c r="B564" s="77"/>
      <c r="C564" s="75"/>
      <c r="D564" s="75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 spans="1:26" ht="14" x14ac:dyDescent="0.2">
      <c r="A565" s="77"/>
      <c r="B565" s="77"/>
      <c r="C565" s="75"/>
      <c r="D565" s="75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 spans="1:26" ht="14" x14ac:dyDescent="0.2">
      <c r="A566" s="77"/>
      <c r="B566" s="77"/>
      <c r="C566" s="75"/>
      <c r="D566" s="75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 spans="1:26" ht="14" x14ac:dyDescent="0.2">
      <c r="A567" s="77"/>
      <c r="B567" s="77"/>
      <c r="C567" s="75"/>
      <c r="D567" s="75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 spans="1:26" ht="14" x14ac:dyDescent="0.2">
      <c r="A568" s="77"/>
      <c r="B568" s="77"/>
      <c r="C568" s="75"/>
      <c r="D568" s="75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 spans="1:26" ht="14" x14ac:dyDescent="0.2">
      <c r="A569" s="77"/>
      <c r="B569" s="77"/>
      <c r="C569" s="75"/>
      <c r="D569" s="75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 spans="1:26" ht="14" x14ac:dyDescent="0.2">
      <c r="A570" s="77"/>
      <c r="B570" s="77"/>
      <c r="C570" s="75"/>
      <c r="D570" s="75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 spans="1:26" ht="14" x14ac:dyDescent="0.2">
      <c r="A571" s="77"/>
      <c r="B571" s="77"/>
      <c r="C571" s="75"/>
      <c r="D571" s="75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 spans="1:26" ht="14" x14ac:dyDescent="0.2">
      <c r="A572" s="77"/>
      <c r="B572" s="77"/>
      <c r="C572" s="75"/>
      <c r="D572" s="75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 spans="1:26" ht="14" x14ac:dyDescent="0.2">
      <c r="A573" s="77"/>
      <c r="B573" s="77"/>
      <c r="C573" s="75"/>
      <c r="D573" s="75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 spans="1:26" ht="14" x14ac:dyDescent="0.2">
      <c r="A574" s="77"/>
      <c r="B574" s="77"/>
      <c r="C574" s="75"/>
      <c r="D574" s="75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 spans="1:26" ht="14" x14ac:dyDescent="0.2">
      <c r="A575" s="77"/>
      <c r="B575" s="77"/>
      <c r="C575" s="75"/>
      <c r="D575" s="75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 spans="1:26" ht="14" x14ac:dyDescent="0.2">
      <c r="A576" s="77"/>
      <c r="B576" s="77"/>
      <c r="C576" s="75"/>
      <c r="D576" s="75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 spans="1:26" ht="14" x14ac:dyDescent="0.2">
      <c r="A577" s="77"/>
      <c r="B577" s="77"/>
      <c r="C577" s="75"/>
      <c r="D577" s="75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 spans="1:26" ht="14" x14ac:dyDescent="0.2">
      <c r="A578" s="77"/>
      <c r="B578" s="77"/>
      <c r="C578" s="75"/>
      <c r="D578" s="75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 spans="1:26" ht="14" x14ac:dyDescent="0.2">
      <c r="A579" s="77"/>
      <c r="B579" s="77"/>
      <c r="C579" s="75"/>
      <c r="D579" s="75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 spans="1:26" ht="14" x14ac:dyDescent="0.2">
      <c r="A580" s="77"/>
      <c r="B580" s="77"/>
      <c r="C580" s="75"/>
      <c r="D580" s="75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 spans="1:26" ht="14" x14ac:dyDescent="0.2">
      <c r="A581" s="77"/>
      <c r="B581" s="77"/>
      <c r="C581" s="75"/>
      <c r="D581" s="75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 spans="1:26" ht="14" x14ac:dyDescent="0.2">
      <c r="A582" s="77"/>
      <c r="B582" s="77"/>
      <c r="C582" s="75"/>
      <c r="D582" s="75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 spans="1:26" ht="14" x14ac:dyDescent="0.2">
      <c r="A583" s="77"/>
      <c r="B583" s="77"/>
      <c r="C583" s="75"/>
      <c r="D583" s="75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 spans="1:26" ht="14" x14ac:dyDescent="0.2">
      <c r="A584" s="77"/>
      <c r="B584" s="77"/>
      <c r="C584" s="75"/>
      <c r="D584" s="75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 spans="1:26" ht="14" x14ac:dyDescent="0.2">
      <c r="A585" s="77"/>
      <c r="B585" s="77"/>
      <c r="C585" s="75"/>
      <c r="D585" s="75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 spans="1:26" ht="14" x14ac:dyDescent="0.2">
      <c r="A586" s="77"/>
      <c r="B586" s="77"/>
      <c r="C586" s="75"/>
      <c r="D586" s="75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 spans="1:26" ht="14" x14ac:dyDescent="0.2">
      <c r="A587" s="77"/>
      <c r="B587" s="77"/>
      <c r="C587" s="75"/>
      <c r="D587" s="75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 spans="1:26" ht="14" x14ac:dyDescent="0.2">
      <c r="A588" s="77"/>
      <c r="B588" s="77"/>
      <c r="C588" s="75"/>
      <c r="D588" s="75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 spans="1:26" ht="14" x14ac:dyDescent="0.2">
      <c r="A589" s="77"/>
      <c r="B589" s="77"/>
      <c r="C589" s="75"/>
      <c r="D589" s="75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 spans="1:26" ht="14" x14ac:dyDescent="0.2">
      <c r="A590" s="77"/>
      <c r="B590" s="77"/>
      <c r="C590" s="75"/>
      <c r="D590" s="75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 spans="1:26" ht="14" x14ac:dyDescent="0.2">
      <c r="A591" s="77"/>
      <c r="B591" s="77"/>
      <c r="C591" s="75"/>
      <c r="D591" s="75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 spans="1:26" ht="14" x14ac:dyDescent="0.2">
      <c r="A592" s="77"/>
      <c r="B592" s="77"/>
      <c r="C592" s="75"/>
      <c r="D592" s="75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 spans="1:26" ht="14" x14ac:dyDescent="0.2">
      <c r="A593" s="77"/>
      <c r="B593" s="77"/>
      <c r="C593" s="75"/>
      <c r="D593" s="75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 spans="1:26" ht="14" x14ac:dyDescent="0.2">
      <c r="A594" s="77"/>
      <c r="B594" s="77"/>
      <c r="C594" s="75"/>
      <c r="D594" s="75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 spans="1:26" ht="14" x14ac:dyDescent="0.2">
      <c r="A595" s="77"/>
      <c r="B595" s="77"/>
      <c r="C595" s="75"/>
      <c r="D595" s="75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 spans="1:26" ht="14" x14ac:dyDescent="0.2">
      <c r="A596" s="77"/>
      <c r="B596" s="77"/>
      <c r="C596" s="75"/>
      <c r="D596" s="75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 spans="1:26" ht="14" x14ac:dyDescent="0.2">
      <c r="A597" s="77"/>
      <c r="B597" s="77"/>
      <c r="C597" s="75"/>
      <c r="D597" s="75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 spans="1:26" ht="14" x14ac:dyDescent="0.2">
      <c r="A598" s="77"/>
      <c r="B598" s="77"/>
      <c r="C598" s="75"/>
      <c r="D598" s="75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 spans="1:26" ht="14" x14ac:dyDescent="0.2">
      <c r="A599" s="77"/>
      <c r="B599" s="77"/>
      <c r="C599" s="75"/>
      <c r="D599" s="75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 spans="1:26" ht="14" x14ac:dyDescent="0.2">
      <c r="A600" s="77"/>
      <c r="B600" s="77"/>
      <c r="C600" s="75"/>
      <c r="D600" s="75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 spans="1:26" ht="14" x14ac:dyDescent="0.2">
      <c r="A601" s="77"/>
      <c r="B601" s="77"/>
      <c r="C601" s="75"/>
      <c r="D601" s="75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 spans="1:26" ht="14" x14ac:dyDescent="0.2">
      <c r="A602" s="77"/>
      <c r="B602" s="77"/>
      <c r="C602" s="75"/>
      <c r="D602" s="75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 spans="1:26" ht="14" x14ac:dyDescent="0.2">
      <c r="A603" s="77"/>
      <c r="B603" s="77"/>
      <c r="C603" s="75"/>
      <c r="D603" s="75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 spans="1:26" ht="14" x14ac:dyDescent="0.2">
      <c r="A604" s="77"/>
      <c r="B604" s="77"/>
      <c r="C604" s="75"/>
      <c r="D604" s="75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 spans="1:26" ht="14" x14ac:dyDescent="0.2">
      <c r="A605" s="77"/>
      <c r="B605" s="77"/>
      <c r="C605" s="75"/>
      <c r="D605" s="75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 spans="1:26" ht="14" x14ac:dyDescent="0.2">
      <c r="A606" s="77"/>
      <c r="B606" s="77"/>
      <c r="C606" s="75"/>
      <c r="D606" s="75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 spans="1:26" ht="14" x14ac:dyDescent="0.2">
      <c r="A607" s="77"/>
      <c r="B607" s="77"/>
      <c r="C607" s="75"/>
      <c r="D607" s="75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 spans="1:26" ht="14" x14ac:dyDescent="0.2">
      <c r="A608" s="77"/>
      <c r="B608" s="77"/>
      <c r="C608" s="75"/>
      <c r="D608" s="75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 spans="1:26" ht="14" x14ac:dyDescent="0.2">
      <c r="A609" s="77"/>
      <c r="B609" s="77"/>
      <c r="C609" s="75"/>
      <c r="D609" s="75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 spans="1:26" ht="14" x14ac:dyDescent="0.2">
      <c r="A610" s="77"/>
      <c r="B610" s="77"/>
      <c r="C610" s="75"/>
      <c r="D610" s="75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 spans="1:26" ht="14" x14ac:dyDescent="0.2">
      <c r="A611" s="77"/>
      <c r="B611" s="77"/>
      <c r="C611" s="75"/>
      <c r="D611" s="75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 spans="1:26" ht="14" x14ac:dyDescent="0.2">
      <c r="A612" s="77"/>
      <c r="B612" s="77"/>
      <c r="C612" s="75"/>
      <c r="D612" s="75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 spans="1:26" ht="14" x14ac:dyDescent="0.2">
      <c r="A613" s="77"/>
      <c r="B613" s="77"/>
      <c r="C613" s="75"/>
      <c r="D613" s="75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 spans="1:26" ht="14" x14ac:dyDescent="0.2">
      <c r="A614" s="77"/>
      <c r="B614" s="77"/>
      <c r="C614" s="75"/>
      <c r="D614" s="75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 spans="1:26" ht="14" x14ac:dyDescent="0.2">
      <c r="A615" s="77"/>
      <c r="B615" s="77"/>
      <c r="C615" s="75"/>
      <c r="D615" s="75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 spans="1:26" ht="14" x14ac:dyDescent="0.2">
      <c r="A616" s="77"/>
      <c r="B616" s="77"/>
      <c r="C616" s="75"/>
      <c r="D616" s="75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 spans="1:26" ht="14" x14ac:dyDescent="0.2">
      <c r="A617" s="77"/>
      <c r="B617" s="77"/>
      <c r="C617" s="75"/>
      <c r="D617" s="75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 spans="1:26" ht="14" x14ac:dyDescent="0.2">
      <c r="A618" s="77"/>
      <c r="B618" s="77"/>
      <c r="C618" s="75"/>
      <c r="D618" s="75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 spans="1:26" ht="14" x14ac:dyDescent="0.2">
      <c r="A619" s="77"/>
      <c r="B619" s="77"/>
      <c r="C619" s="75"/>
      <c r="D619" s="75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 spans="1:26" ht="14" x14ac:dyDescent="0.2">
      <c r="A620" s="77"/>
      <c r="B620" s="77"/>
      <c r="C620" s="75"/>
      <c r="D620" s="75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 spans="1:26" ht="14" x14ac:dyDescent="0.2">
      <c r="A621" s="77"/>
      <c r="B621" s="77"/>
      <c r="C621" s="75"/>
      <c r="D621" s="75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 spans="1:26" ht="14" x14ac:dyDescent="0.2">
      <c r="A622" s="77"/>
      <c r="B622" s="77"/>
      <c r="C622" s="75"/>
      <c r="D622" s="75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 spans="1:26" ht="14" x14ac:dyDescent="0.2">
      <c r="A623" s="77"/>
      <c r="B623" s="77"/>
      <c r="C623" s="75"/>
      <c r="D623" s="75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 spans="1:26" ht="14" x14ac:dyDescent="0.2">
      <c r="A624" s="77"/>
      <c r="B624" s="77"/>
      <c r="C624" s="75"/>
      <c r="D624" s="75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 spans="1:26" ht="14" x14ac:dyDescent="0.2">
      <c r="A625" s="77"/>
      <c r="B625" s="77"/>
      <c r="C625" s="75"/>
      <c r="D625" s="75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 spans="1:26" ht="14" x14ac:dyDescent="0.2">
      <c r="A626" s="77"/>
      <c r="B626" s="77"/>
      <c r="C626" s="75"/>
      <c r="D626" s="75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 spans="1:26" ht="14" x14ac:dyDescent="0.2">
      <c r="A627" s="77"/>
      <c r="B627" s="77"/>
      <c r="C627" s="75"/>
      <c r="D627" s="75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 spans="1:26" ht="14" x14ac:dyDescent="0.2">
      <c r="A628" s="77"/>
      <c r="B628" s="77"/>
      <c r="C628" s="75"/>
      <c r="D628" s="75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 spans="1:26" ht="14" x14ac:dyDescent="0.2">
      <c r="A629" s="77"/>
      <c r="B629" s="77"/>
      <c r="C629" s="75"/>
      <c r="D629" s="75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 spans="1:26" ht="14" x14ac:dyDescent="0.2">
      <c r="A630" s="77"/>
      <c r="B630" s="77"/>
      <c r="C630" s="75"/>
      <c r="D630" s="75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 spans="1:26" ht="14" x14ac:dyDescent="0.2">
      <c r="A631" s="77"/>
      <c r="B631" s="77"/>
      <c r="C631" s="75"/>
      <c r="D631" s="75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 spans="1:26" ht="14" x14ac:dyDescent="0.2">
      <c r="A632" s="77"/>
      <c r="B632" s="77"/>
      <c r="C632" s="75"/>
      <c r="D632" s="75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 spans="1:26" ht="14" x14ac:dyDescent="0.2">
      <c r="A633" s="77"/>
      <c r="B633" s="77"/>
      <c r="C633" s="75"/>
      <c r="D633" s="75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 spans="1:26" ht="14" x14ac:dyDescent="0.2">
      <c r="A634" s="77"/>
      <c r="B634" s="77"/>
      <c r="C634" s="75"/>
      <c r="D634" s="75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 spans="1:26" ht="14" x14ac:dyDescent="0.2">
      <c r="A635" s="77"/>
      <c r="B635" s="77"/>
      <c r="C635" s="75"/>
      <c r="D635" s="75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 spans="1:26" ht="14" x14ac:dyDescent="0.2">
      <c r="A636" s="77"/>
      <c r="B636" s="77"/>
      <c r="C636" s="75"/>
      <c r="D636" s="75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 spans="1:26" ht="14" x14ac:dyDescent="0.2">
      <c r="A637" s="77"/>
      <c r="B637" s="77"/>
      <c r="C637" s="75"/>
      <c r="D637" s="75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 spans="1:26" ht="14" x14ac:dyDescent="0.2">
      <c r="A638" s="77"/>
      <c r="B638" s="77"/>
      <c r="C638" s="75"/>
      <c r="D638" s="75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 spans="1:26" ht="14" x14ac:dyDescent="0.2">
      <c r="A639" s="77"/>
      <c r="B639" s="77"/>
      <c r="C639" s="75"/>
      <c r="D639" s="75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 spans="1:26" ht="14" x14ac:dyDescent="0.2">
      <c r="A640" s="77"/>
      <c r="B640" s="77"/>
      <c r="C640" s="75"/>
      <c r="D640" s="75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 spans="1:26" ht="14" x14ac:dyDescent="0.2">
      <c r="A641" s="77"/>
      <c r="B641" s="77"/>
      <c r="C641" s="75"/>
      <c r="D641" s="75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 spans="1:26" ht="14" x14ac:dyDescent="0.2">
      <c r="A642" s="77"/>
      <c r="B642" s="77"/>
      <c r="C642" s="75"/>
      <c r="D642" s="75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 spans="1:26" ht="14" x14ac:dyDescent="0.2">
      <c r="A643" s="77"/>
      <c r="B643" s="77"/>
      <c r="C643" s="75"/>
      <c r="D643" s="75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 spans="1:26" ht="14" x14ac:dyDescent="0.2">
      <c r="A644" s="77"/>
      <c r="B644" s="77"/>
      <c r="C644" s="75"/>
      <c r="D644" s="75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 spans="1:26" ht="14" x14ac:dyDescent="0.2">
      <c r="A645" s="77"/>
      <c r="B645" s="77"/>
      <c r="C645" s="75"/>
      <c r="D645" s="75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 spans="1:26" ht="14" x14ac:dyDescent="0.2">
      <c r="A646" s="77"/>
      <c r="B646" s="77"/>
      <c r="C646" s="75"/>
      <c r="D646" s="75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 spans="1:26" ht="14" x14ac:dyDescent="0.2">
      <c r="A647" s="77"/>
      <c r="B647" s="77"/>
      <c r="C647" s="75"/>
      <c r="D647" s="75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 spans="1:26" ht="14" x14ac:dyDescent="0.2">
      <c r="A648" s="77"/>
      <c r="B648" s="77"/>
      <c r="C648" s="75"/>
      <c r="D648" s="75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 spans="1:26" ht="14" x14ac:dyDescent="0.2">
      <c r="A649" s="77"/>
      <c r="B649" s="77"/>
      <c r="C649" s="75"/>
      <c r="D649" s="75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 spans="1:26" ht="14" x14ac:dyDescent="0.2">
      <c r="A650" s="77"/>
      <c r="B650" s="77"/>
      <c r="C650" s="75"/>
      <c r="D650" s="75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 spans="1:26" ht="14" x14ac:dyDescent="0.2">
      <c r="A651" s="77"/>
      <c r="B651" s="77"/>
      <c r="C651" s="75"/>
      <c r="D651" s="75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 spans="1:26" ht="14" x14ac:dyDescent="0.2">
      <c r="A652" s="77"/>
      <c r="B652" s="77"/>
      <c r="C652" s="75"/>
      <c r="D652" s="75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 spans="1:26" ht="14" x14ac:dyDescent="0.2">
      <c r="A653" s="77"/>
      <c r="B653" s="77"/>
      <c r="C653" s="75"/>
      <c r="D653" s="75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 spans="1:26" ht="14" x14ac:dyDescent="0.2">
      <c r="A654" s="77"/>
      <c r="B654" s="77"/>
      <c r="C654" s="75"/>
      <c r="D654" s="75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 spans="1:26" ht="14" x14ac:dyDescent="0.2">
      <c r="A655" s="77"/>
      <c r="B655" s="77"/>
      <c r="C655" s="75"/>
      <c r="D655" s="75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 spans="1:26" ht="14" x14ac:dyDescent="0.2">
      <c r="A656" s="77"/>
      <c r="B656" s="77"/>
      <c r="C656" s="75"/>
      <c r="D656" s="75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 spans="1:26" ht="14" x14ac:dyDescent="0.2">
      <c r="A657" s="77"/>
      <c r="B657" s="77"/>
      <c r="C657" s="75"/>
      <c r="D657" s="75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 spans="1:26" ht="14" x14ac:dyDescent="0.2">
      <c r="A658" s="77"/>
      <c r="B658" s="77"/>
      <c r="C658" s="75"/>
      <c r="D658" s="75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 spans="1:26" ht="14" x14ac:dyDescent="0.2">
      <c r="A659" s="77"/>
      <c r="B659" s="77"/>
      <c r="C659" s="75"/>
      <c r="D659" s="75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 spans="1:26" ht="14" x14ac:dyDescent="0.2">
      <c r="A660" s="77"/>
      <c r="B660" s="77"/>
      <c r="C660" s="75"/>
      <c r="D660" s="75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 spans="1:26" ht="14" x14ac:dyDescent="0.2">
      <c r="A661" s="77"/>
      <c r="B661" s="77"/>
      <c r="C661" s="75"/>
      <c r="D661" s="75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 spans="1:26" ht="14" x14ac:dyDescent="0.2">
      <c r="A662" s="77"/>
      <c r="B662" s="77"/>
      <c r="C662" s="75"/>
      <c r="D662" s="75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 spans="1:26" ht="14" x14ac:dyDescent="0.2">
      <c r="A663" s="77"/>
      <c r="B663" s="77"/>
      <c r="C663" s="75"/>
      <c r="D663" s="75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 spans="1:26" ht="14" x14ac:dyDescent="0.2">
      <c r="A664" s="77"/>
      <c r="B664" s="77"/>
      <c r="C664" s="75"/>
      <c r="D664" s="75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 spans="1:26" ht="14" x14ac:dyDescent="0.2">
      <c r="A665" s="77"/>
      <c r="B665" s="77"/>
      <c r="C665" s="75"/>
      <c r="D665" s="75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 spans="1:26" ht="14" x14ac:dyDescent="0.2">
      <c r="A666" s="77"/>
      <c r="B666" s="77"/>
      <c r="C666" s="75"/>
      <c r="D666" s="75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 spans="1:26" ht="14" x14ac:dyDescent="0.2">
      <c r="A667" s="77"/>
      <c r="B667" s="77"/>
      <c r="C667" s="75"/>
      <c r="D667" s="75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 spans="1:26" ht="14" x14ac:dyDescent="0.2">
      <c r="A668" s="77"/>
      <c r="B668" s="77"/>
      <c r="C668" s="75"/>
      <c r="D668" s="75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 spans="1:26" ht="14" x14ac:dyDescent="0.2">
      <c r="A669" s="77"/>
      <c r="B669" s="77"/>
      <c r="C669" s="75"/>
      <c r="D669" s="75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 spans="1:26" ht="14" x14ac:dyDescent="0.2">
      <c r="A670" s="77"/>
      <c r="B670" s="77"/>
      <c r="C670" s="75"/>
      <c r="D670" s="75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 spans="1:26" ht="14" x14ac:dyDescent="0.2">
      <c r="A671" s="77"/>
      <c r="B671" s="77"/>
      <c r="C671" s="75"/>
      <c r="D671" s="75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 spans="1:26" ht="14" x14ac:dyDescent="0.2">
      <c r="A672" s="77"/>
      <c r="B672" s="77"/>
      <c r="C672" s="75"/>
      <c r="D672" s="75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 spans="1:26" ht="14" x14ac:dyDescent="0.2">
      <c r="A673" s="77"/>
      <c r="B673" s="77"/>
      <c r="C673" s="75"/>
      <c r="D673" s="75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 spans="1:26" ht="14" x14ac:dyDescent="0.2">
      <c r="A674" s="77"/>
      <c r="B674" s="77"/>
      <c r="C674" s="75"/>
      <c r="D674" s="75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 spans="1:26" ht="14" x14ac:dyDescent="0.2">
      <c r="A675" s="77"/>
      <c r="B675" s="77"/>
      <c r="C675" s="75"/>
      <c r="D675" s="75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 spans="1:26" ht="14" x14ac:dyDescent="0.2">
      <c r="A676" s="77"/>
      <c r="B676" s="77"/>
      <c r="C676" s="75"/>
      <c r="D676" s="75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 spans="1:26" ht="14" x14ac:dyDescent="0.2">
      <c r="A677" s="77"/>
      <c r="B677" s="77"/>
      <c r="C677" s="75"/>
      <c r="D677" s="75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 spans="1:26" ht="14" x14ac:dyDescent="0.2">
      <c r="A678" s="77"/>
      <c r="B678" s="77"/>
      <c r="C678" s="75"/>
      <c r="D678" s="75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 spans="1:26" ht="14" x14ac:dyDescent="0.2">
      <c r="A679" s="77"/>
      <c r="B679" s="77"/>
      <c r="C679" s="75"/>
      <c r="D679" s="75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 spans="1:26" ht="14" x14ac:dyDescent="0.2">
      <c r="A680" s="77"/>
      <c r="B680" s="77"/>
      <c r="C680" s="75"/>
      <c r="D680" s="75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 spans="1:26" ht="14" x14ac:dyDescent="0.2">
      <c r="A681" s="77"/>
      <c r="B681" s="77"/>
      <c r="C681" s="75"/>
      <c r="D681" s="75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 spans="1:26" ht="14" x14ac:dyDescent="0.2">
      <c r="A682" s="77"/>
      <c r="B682" s="77"/>
      <c r="C682" s="75"/>
      <c r="D682" s="75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 spans="1:26" ht="14" x14ac:dyDescent="0.2">
      <c r="A683" s="77"/>
      <c r="B683" s="77"/>
      <c r="C683" s="75"/>
      <c r="D683" s="75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 spans="1:26" ht="14" x14ac:dyDescent="0.2">
      <c r="A684" s="77"/>
      <c r="B684" s="77"/>
      <c r="C684" s="75"/>
      <c r="D684" s="75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 spans="1:26" ht="14" x14ac:dyDescent="0.2">
      <c r="A685" s="77"/>
      <c r="B685" s="77"/>
      <c r="C685" s="75"/>
      <c r="D685" s="75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 spans="1:26" ht="14" x14ac:dyDescent="0.2">
      <c r="A686" s="77"/>
      <c r="B686" s="77"/>
      <c r="C686" s="75"/>
      <c r="D686" s="75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 spans="1:26" ht="14" x14ac:dyDescent="0.2">
      <c r="A687" s="77"/>
      <c r="B687" s="77"/>
      <c r="C687" s="75"/>
      <c r="D687" s="75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 spans="1:26" ht="14" x14ac:dyDescent="0.2">
      <c r="A688" s="77"/>
      <c r="B688" s="77"/>
      <c r="C688" s="75"/>
      <c r="D688" s="75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 spans="1:26" ht="14" x14ac:dyDescent="0.2">
      <c r="A689" s="77"/>
      <c r="B689" s="77"/>
      <c r="C689" s="75"/>
      <c r="D689" s="75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 spans="1:26" ht="14" x14ac:dyDescent="0.2">
      <c r="A690" s="77"/>
      <c r="B690" s="77"/>
      <c r="C690" s="75"/>
      <c r="D690" s="75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 spans="1:26" ht="14" x14ac:dyDescent="0.2">
      <c r="A691" s="77"/>
      <c r="B691" s="77"/>
      <c r="C691" s="75"/>
      <c r="D691" s="75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 spans="1:26" ht="14" x14ac:dyDescent="0.2">
      <c r="A692" s="77"/>
      <c r="B692" s="77"/>
      <c r="C692" s="75"/>
      <c r="D692" s="75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 spans="1:26" ht="14" x14ac:dyDescent="0.2">
      <c r="A693" s="77"/>
      <c r="B693" s="77"/>
      <c r="C693" s="75"/>
      <c r="D693" s="75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 spans="1:26" ht="14" x14ac:dyDescent="0.2">
      <c r="A694" s="77"/>
      <c r="B694" s="77"/>
      <c r="C694" s="75"/>
      <c r="D694" s="75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 spans="1:26" ht="14" x14ac:dyDescent="0.2">
      <c r="A695" s="77"/>
      <c r="B695" s="77"/>
      <c r="C695" s="75"/>
      <c r="D695" s="75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 spans="1:26" ht="14" x14ac:dyDescent="0.2">
      <c r="A696" s="77"/>
      <c r="B696" s="77"/>
      <c r="C696" s="75"/>
      <c r="D696" s="75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 spans="1:26" ht="14" x14ac:dyDescent="0.2">
      <c r="A697" s="77"/>
      <c r="B697" s="77"/>
      <c r="C697" s="75"/>
      <c r="D697" s="75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 spans="1:26" ht="14" x14ac:dyDescent="0.2">
      <c r="A698" s="77"/>
      <c r="B698" s="77"/>
      <c r="C698" s="75"/>
      <c r="D698" s="75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 spans="1:26" ht="14" x14ac:dyDescent="0.2">
      <c r="A699" s="77"/>
      <c r="B699" s="77"/>
      <c r="C699" s="75"/>
      <c r="D699" s="75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 spans="1:26" ht="14" x14ac:dyDescent="0.2">
      <c r="A700" s="77"/>
      <c r="B700" s="77"/>
      <c r="C700" s="75"/>
      <c r="D700" s="75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 spans="1:26" ht="14" x14ac:dyDescent="0.2">
      <c r="A701" s="77"/>
      <c r="B701" s="77"/>
      <c r="C701" s="75"/>
      <c r="D701" s="75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 spans="1:26" ht="14" x14ac:dyDescent="0.2">
      <c r="A702" s="77"/>
      <c r="B702" s="77"/>
      <c r="C702" s="75"/>
      <c r="D702" s="75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 spans="1:26" ht="14" x14ac:dyDescent="0.2">
      <c r="A703" s="77"/>
      <c r="B703" s="77"/>
      <c r="C703" s="75"/>
      <c r="D703" s="75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 spans="1:26" ht="14" x14ac:dyDescent="0.2">
      <c r="A704" s="77"/>
      <c r="B704" s="77"/>
      <c r="C704" s="75"/>
      <c r="D704" s="75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 spans="1:26" ht="14" x14ac:dyDescent="0.2">
      <c r="A705" s="77"/>
      <c r="B705" s="77"/>
      <c r="C705" s="75"/>
      <c r="D705" s="75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 spans="1:26" ht="14" x14ac:dyDescent="0.2">
      <c r="A706" s="77"/>
      <c r="B706" s="77"/>
      <c r="C706" s="75"/>
      <c r="D706" s="75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 spans="1:26" ht="14" x14ac:dyDescent="0.2">
      <c r="A707" s="77"/>
      <c r="B707" s="77"/>
      <c r="C707" s="75"/>
      <c r="D707" s="75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 spans="1:26" ht="14" x14ac:dyDescent="0.2">
      <c r="A708" s="77"/>
      <c r="B708" s="77"/>
      <c r="C708" s="75"/>
      <c r="D708" s="75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 spans="1:26" ht="14" x14ac:dyDescent="0.2">
      <c r="A709" s="77"/>
      <c r="B709" s="77"/>
      <c r="C709" s="75"/>
      <c r="D709" s="75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 spans="1:26" ht="14" x14ac:dyDescent="0.2">
      <c r="A710" s="77"/>
      <c r="B710" s="77"/>
      <c r="C710" s="75"/>
      <c r="D710" s="75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 spans="1:26" ht="14" x14ac:dyDescent="0.2">
      <c r="A711" s="77"/>
      <c r="B711" s="77"/>
      <c r="C711" s="75"/>
      <c r="D711" s="75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 spans="1:26" ht="14" x14ac:dyDescent="0.2">
      <c r="A712" s="77"/>
      <c r="B712" s="77"/>
      <c r="C712" s="75"/>
      <c r="D712" s="75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 spans="1:26" ht="14" x14ac:dyDescent="0.2">
      <c r="A713" s="77"/>
      <c r="B713" s="77"/>
      <c r="C713" s="75"/>
      <c r="D713" s="75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 spans="1:26" ht="14" x14ac:dyDescent="0.2">
      <c r="A714" s="77"/>
      <c r="B714" s="77"/>
      <c r="C714" s="75"/>
      <c r="D714" s="75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 spans="1:26" ht="14" x14ac:dyDescent="0.2">
      <c r="A715" s="77"/>
      <c r="B715" s="77"/>
      <c r="C715" s="75"/>
      <c r="D715" s="75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 spans="1:26" ht="14" x14ac:dyDescent="0.2">
      <c r="A716" s="77"/>
      <c r="B716" s="77"/>
      <c r="C716" s="75"/>
      <c r="D716" s="75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 spans="1:26" ht="14" x14ac:dyDescent="0.2">
      <c r="A717" s="77"/>
      <c r="B717" s="77"/>
      <c r="C717" s="75"/>
      <c r="D717" s="75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 spans="1:26" ht="14" x14ac:dyDescent="0.2">
      <c r="A718" s="77"/>
      <c r="B718" s="77"/>
      <c r="C718" s="75"/>
      <c r="D718" s="75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 spans="1:26" ht="14" x14ac:dyDescent="0.2">
      <c r="A719" s="77"/>
      <c r="B719" s="77"/>
      <c r="C719" s="75"/>
      <c r="D719" s="75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 spans="1:26" ht="14" x14ac:dyDescent="0.2">
      <c r="A720" s="77"/>
      <c r="B720" s="77"/>
      <c r="C720" s="75"/>
      <c r="D720" s="75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 spans="1:26" ht="14" x14ac:dyDescent="0.2">
      <c r="A721" s="77"/>
      <c r="B721" s="77"/>
      <c r="C721" s="75"/>
      <c r="D721" s="75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 spans="1:26" ht="14" x14ac:dyDescent="0.2">
      <c r="A722" s="77"/>
      <c r="B722" s="77"/>
      <c r="C722" s="75"/>
      <c r="D722" s="75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 spans="1:26" ht="14" x14ac:dyDescent="0.2">
      <c r="A723" s="77"/>
      <c r="B723" s="77"/>
      <c r="C723" s="75"/>
      <c r="D723" s="75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 spans="1:26" ht="14" x14ac:dyDescent="0.2">
      <c r="A724" s="77"/>
      <c r="B724" s="77"/>
      <c r="C724" s="75"/>
      <c r="D724" s="75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 spans="1:26" ht="14" x14ac:dyDescent="0.2">
      <c r="A725" s="77"/>
      <c r="B725" s="77"/>
      <c r="C725" s="75"/>
      <c r="D725" s="75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 spans="1:26" ht="14" x14ac:dyDescent="0.2">
      <c r="A726" s="77"/>
      <c r="B726" s="77"/>
      <c r="C726" s="75"/>
      <c r="D726" s="75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 spans="1:26" ht="14" x14ac:dyDescent="0.2">
      <c r="A727" s="77"/>
      <c r="B727" s="77"/>
      <c r="C727" s="75"/>
      <c r="D727" s="75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 spans="1:26" ht="14" x14ac:dyDescent="0.2">
      <c r="A728" s="77"/>
      <c r="B728" s="77"/>
      <c r="C728" s="75"/>
      <c r="D728" s="75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 spans="1:26" ht="14" x14ac:dyDescent="0.2">
      <c r="A729" s="77"/>
      <c r="B729" s="77"/>
      <c r="C729" s="75"/>
      <c r="D729" s="75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 spans="1:26" ht="14" x14ac:dyDescent="0.2">
      <c r="A730" s="77"/>
      <c r="B730" s="77"/>
      <c r="C730" s="75"/>
      <c r="D730" s="75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 spans="1:26" ht="14" x14ac:dyDescent="0.2">
      <c r="A731" s="77"/>
      <c r="B731" s="77"/>
      <c r="C731" s="75"/>
      <c r="D731" s="75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 spans="1:26" ht="14" x14ac:dyDescent="0.2">
      <c r="A732" s="77"/>
      <c r="B732" s="77"/>
      <c r="C732" s="75"/>
      <c r="D732" s="75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 spans="1:26" ht="14" x14ac:dyDescent="0.2">
      <c r="A733" s="77"/>
      <c r="B733" s="77"/>
      <c r="C733" s="75"/>
      <c r="D733" s="75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 spans="1:26" ht="14" x14ac:dyDescent="0.2">
      <c r="A734" s="77"/>
      <c r="B734" s="77"/>
      <c r="C734" s="75"/>
      <c r="D734" s="75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 spans="1:26" ht="14" x14ac:dyDescent="0.2">
      <c r="A735" s="77"/>
      <c r="B735" s="77"/>
      <c r="C735" s="75"/>
      <c r="D735" s="75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 spans="1:26" ht="14" x14ac:dyDescent="0.2">
      <c r="A736" s="77"/>
      <c r="B736" s="77"/>
      <c r="C736" s="75"/>
      <c r="D736" s="75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 spans="1:26" ht="14" x14ac:dyDescent="0.2">
      <c r="A737" s="77"/>
      <c r="B737" s="77"/>
      <c r="C737" s="75"/>
      <c r="D737" s="75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 spans="1:26" ht="14" x14ac:dyDescent="0.2">
      <c r="A738" s="77"/>
      <c r="B738" s="77"/>
      <c r="C738" s="75"/>
      <c r="D738" s="75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 spans="1:26" ht="14" x14ac:dyDescent="0.2">
      <c r="A739" s="77"/>
      <c r="B739" s="77"/>
      <c r="C739" s="75"/>
      <c r="D739" s="75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 spans="1:26" ht="14" x14ac:dyDescent="0.2">
      <c r="A740" s="77"/>
      <c r="B740" s="77"/>
      <c r="C740" s="75"/>
      <c r="D740" s="75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 spans="1:26" ht="14" x14ac:dyDescent="0.2">
      <c r="A741" s="77"/>
      <c r="B741" s="77"/>
      <c r="C741" s="75"/>
      <c r="D741" s="75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 spans="1:26" ht="14" x14ac:dyDescent="0.2">
      <c r="A742" s="77"/>
      <c r="B742" s="77"/>
      <c r="C742" s="75"/>
      <c r="D742" s="75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 spans="1:26" ht="14" x14ac:dyDescent="0.2">
      <c r="A743" s="77"/>
      <c r="B743" s="77"/>
      <c r="C743" s="75"/>
      <c r="D743" s="75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 spans="1:26" ht="14" x14ac:dyDescent="0.2">
      <c r="A744" s="77"/>
      <c r="B744" s="77"/>
      <c r="C744" s="75"/>
      <c r="D744" s="75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 spans="1:26" ht="14" x14ac:dyDescent="0.2">
      <c r="A745" s="77"/>
      <c r="B745" s="77"/>
      <c r="C745" s="75"/>
      <c r="D745" s="75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 spans="1:26" ht="14" x14ac:dyDescent="0.2">
      <c r="A746" s="77"/>
      <c r="B746" s="77"/>
      <c r="C746" s="75"/>
      <c r="D746" s="75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 spans="1:26" ht="14" x14ac:dyDescent="0.2">
      <c r="A747" s="77"/>
      <c r="B747" s="77"/>
      <c r="C747" s="75"/>
      <c r="D747" s="75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 spans="1:26" ht="14" x14ac:dyDescent="0.2">
      <c r="A748" s="77"/>
      <c r="B748" s="77"/>
      <c r="C748" s="75"/>
      <c r="D748" s="75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 spans="1:26" ht="14" x14ac:dyDescent="0.2">
      <c r="A749" s="77"/>
      <c r="B749" s="77"/>
      <c r="C749" s="75"/>
      <c r="D749" s="75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 spans="1:26" ht="14" x14ac:dyDescent="0.2">
      <c r="A750" s="77"/>
      <c r="B750" s="77"/>
      <c r="C750" s="75"/>
      <c r="D750" s="75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 spans="1:26" ht="14" x14ac:dyDescent="0.2">
      <c r="A751" s="77"/>
      <c r="B751" s="77"/>
      <c r="C751" s="75"/>
      <c r="D751" s="75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 spans="1:26" ht="14" x14ac:dyDescent="0.2">
      <c r="A752" s="77"/>
      <c r="B752" s="77"/>
      <c r="C752" s="75"/>
      <c r="D752" s="75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 spans="1:26" ht="14" x14ac:dyDescent="0.2">
      <c r="A753" s="77"/>
      <c r="B753" s="77"/>
      <c r="C753" s="75"/>
      <c r="D753" s="75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 spans="1:26" ht="14" x14ac:dyDescent="0.2">
      <c r="A754" s="77"/>
      <c r="B754" s="77"/>
      <c r="C754" s="75"/>
      <c r="D754" s="75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 spans="1:26" ht="14" x14ac:dyDescent="0.2">
      <c r="A755" s="77"/>
      <c r="B755" s="77"/>
      <c r="C755" s="75"/>
      <c r="D755" s="75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 spans="1:26" ht="14" x14ac:dyDescent="0.2">
      <c r="A756" s="77"/>
      <c r="B756" s="77"/>
      <c r="C756" s="75"/>
      <c r="D756" s="75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 spans="1:26" ht="14" x14ac:dyDescent="0.2">
      <c r="A757" s="77"/>
      <c r="B757" s="77"/>
      <c r="C757" s="75"/>
      <c r="D757" s="75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 spans="1:26" ht="14" x14ac:dyDescent="0.2">
      <c r="A758" s="77"/>
      <c r="B758" s="77"/>
      <c r="C758" s="75"/>
      <c r="D758" s="75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 spans="1:26" ht="14" x14ac:dyDescent="0.2">
      <c r="A759" s="77"/>
      <c r="B759" s="77"/>
      <c r="C759" s="75"/>
      <c r="D759" s="75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 spans="1:26" ht="14" x14ac:dyDescent="0.2">
      <c r="A760" s="77"/>
      <c r="B760" s="77"/>
      <c r="C760" s="75"/>
      <c r="D760" s="75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 spans="1:26" ht="14" x14ac:dyDescent="0.2">
      <c r="A761" s="77"/>
      <c r="B761" s="77"/>
      <c r="C761" s="75"/>
      <c r="D761" s="75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 spans="1:26" ht="14" x14ac:dyDescent="0.2">
      <c r="A762" s="77"/>
      <c r="B762" s="77"/>
      <c r="C762" s="75"/>
      <c r="D762" s="75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 spans="1:26" ht="14" x14ac:dyDescent="0.2">
      <c r="A763" s="77"/>
      <c r="B763" s="77"/>
      <c r="C763" s="75"/>
      <c r="D763" s="75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 spans="1:26" ht="14" x14ac:dyDescent="0.2">
      <c r="A764" s="77"/>
      <c r="B764" s="77"/>
      <c r="C764" s="75"/>
      <c r="D764" s="75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 spans="1:26" ht="14" x14ac:dyDescent="0.2">
      <c r="A765" s="77"/>
      <c r="B765" s="77"/>
      <c r="C765" s="75"/>
      <c r="D765" s="75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 spans="1:26" ht="14" x14ac:dyDescent="0.2">
      <c r="A766" s="77"/>
      <c r="B766" s="77"/>
      <c r="C766" s="75"/>
      <c r="D766" s="75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 spans="1:26" ht="14" x14ac:dyDescent="0.2">
      <c r="A767" s="77"/>
      <c r="B767" s="77"/>
      <c r="C767" s="75"/>
      <c r="D767" s="75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 spans="1:26" ht="14" x14ac:dyDescent="0.2">
      <c r="A768" s="77"/>
      <c r="B768" s="77"/>
      <c r="C768" s="75"/>
      <c r="D768" s="75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 spans="1:26" ht="14" x14ac:dyDescent="0.2">
      <c r="A769" s="77"/>
      <c r="B769" s="77"/>
      <c r="C769" s="75"/>
      <c r="D769" s="75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 spans="1:26" ht="14" x14ac:dyDescent="0.2">
      <c r="A770" s="77"/>
      <c r="B770" s="77"/>
      <c r="C770" s="75"/>
      <c r="D770" s="75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 spans="1:26" ht="14" x14ac:dyDescent="0.2">
      <c r="A771" s="77"/>
      <c r="B771" s="77"/>
      <c r="C771" s="75"/>
      <c r="D771" s="75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 spans="1:26" ht="14" x14ac:dyDescent="0.2">
      <c r="A772" s="77"/>
      <c r="B772" s="77"/>
      <c r="C772" s="75"/>
      <c r="D772" s="75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 spans="1:26" ht="14" x14ac:dyDescent="0.2">
      <c r="A773" s="77"/>
      <c r="B773" s="77"/>
      <c r="C773" s="75"/>
      <c r="D773" s="75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 spans="1:26" ht="14" x14ac:dyDescent="0.2">
      <c r="A774" s="77"/>
      <c r="B774" s="77"/>
      <c r="C774" s="75"/>
      <c r="D774" s="75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 spans="1:26" ht="14" x14ac:dyDescent="0.2">
      <c r="A775" s="77"/>
      <c r="B775" s="77"/>
      <c r="C775" s="75"/>
      <c r="D775" s="75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 spans="1:26" ht="14" x14ac:dyDescent="0.2">
      <c r="A776" s="77"/>
      <c r="B776" s="77"/>
      <c r="C776" s="75"/>
      <c r="D776" s="75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 spans="1:26" ht="14" x14ac:dyDescent="0.2">
      <c r="A777" s="77"/>
      <c r="B777" s="77"/>
      <c r="C777" s="75"/>
      <c r="D777" s="75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 spans="1:26" ht="14" x14ac:dyDescent="0.2">
      <c r="A778" s="77"/>
      <c r="B778" s="77"/>
      <c r="C778" s="75"/>
      <c r="D778" s="75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 spans="1:26" ht="14" x14ac:dyDescent="0.2">
      <c r="A779" s="77"/>
      <c r="B779" s="77"/>
      <c r="C779" s="75"/>
      <c r="D779" s="75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 spans="1:26" ht="14" x14ac:dyDescent="0.2">
      <c r="A780" s="77"/>
      <c r="B780" s="77"/>
      <c r="C780" s="75"/>
      <c r="D780" s="75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 spans="1:26" ht="14" x14ac:dyDescent="0.2">
      <c r="A781" s="77"/>
      <c r="B781" s="77"/>
      <c r="C781" s="75"/>
      <c r="D781" s="75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 spans="1:26" ht="14" x14ac:dyDescent="0.2">
      <c r="A782" s="77"/>
      <c r="B782" s="77"/>
      <c r="C782" s="75"/>
      <c r="D782" s="75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 spans="1:26" ht="14" x14ac:dyDescent="0.2">
      <c r="A783" s="77"/>
      <c r="B783" s="77"/>
      <c r="C783" s="75"/>
      <c r="D783" s="75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 spans="1:26" ht="14" x14ac:dyDescent="0.2">
      <c r="A784" s="77"/>
      <c r="B784" s="77"/>
      <c r="C784" s="75"/>
      <c r="D784" s="75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 spans="1:26" ht="14" x14ac:dyDescent="0.2">
      <c r="A785" s="77"/>
      <c r="B785" s="77"/>
      <c r="C785" s="75"/>
      <c r="D785" s="75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 spans="1:26" ht="14" x14ac:dyDescent="0.2">
      <c r="A786" s="77"/>
      <c r="B786" s="77"/>
      <c r="C786" s="75"/>
      <c r="D786" s="75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 spans="1:26" ht="14" x14ac:dyDescent="0.2">
      <c r="A787" s="77"/>
      <c r="B787" s="77"/>
      <c r="C787" s="75"/>
      <c r="D787" s="75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 spans="1:26" ht="14" x14ac:dyDescent="0.2">
      <c r="A788" s="77"/>
      <c r="B788" s="77"/>
      <c r="C788" s="75"/>
      <c r="D788" s="75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 spans="1:26" ht="14" x14ac:dyDescent="0.2">
      <c r="A789" s="77"/>
      <c r="B789" s="77"/>
      <c r="C789" s="75"/>
      <c r="D789" s="75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 spans="1:26" ht="14" x14ac:dyDescent="0.2">
      <c r="A790" s="77"/>
      <c r="B790" s="77"/>
      <c r="C790" s="75"/>
      <c r="D790" s="75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 spans="1:26" ht="14" x14ac:dyDescent="0.2">
      <c r="A791" s="77"/>
      <c r="B791" s="77"/>
      <c r="C791" s="75"/>
      <c r="D791" s="75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 spans="1:26" ht="14" x14ac:dyDescent="0.2">
      <c r="A792" s="77"/>
      <c r="B792" s="77"/>
      <c r="C792" s="75"/>
      <c r="D792" s="75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 spans="1:26" ht="14" x14ac:dyDescent="0.2">
      <c r="A793" s="77"/>
      <c r="B793" s="77"/>
      <c r="C793" s="75"/>
      <c r="D793" s="75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 spans="1:26" ht="14" x14ac:dyDescent="0.2">
      <c r="A794" s="77"/>
      <c r="B794" s="77"/>
      <c r="C794" s="75"/>
      <c r="D794" s="75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 spans="1:26" ht="14" x14ac:dyDescent="0.2">
      <c r="A795" s="77"/>
      <c r="B795" s="77"/>
      <c r="C795" s="75"/>
      <c r="D795" s="75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 spans="1:26" ht="14" x14ac:dyDescent="0.2">
      <c r="A796" s="77"/>
      <c r="B796" s="77"/>
      <c r="C796" s="75"/>
      <c r="D796" s="75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 spans="1:26" ht="14" x14ac:dyDescent="0.2">
      <c r="A797" s="77"/>
      <c r="B797" s="77"/>
      <c r="C797" s="75"/>
      <c r="D797" s="75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 spans="1:26" ht="14" x14ac:dyDescent="0.2">
      <c r="A798" s="77"/>
      <c r="B798" s="77"/>
      <c r="C798" s="75"/>
      <c r="D798" s="75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 spans="1:26" ht="14" x14ac:dyDescent="0.2">
      <c r="A799" s="77"/>
      <c r="B799" s="77"/>
      <c r="C799" s="75"/>
      <c r="D799" s="75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 spans="1:26" ht="14" x14ac:dyDescent="0.2">
      <c r="A800" s="77"/>
      <c r="B800" s="77"/>
      <c r="C800" s="75"/>
      <c r="D800" s="75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 spans="1:26" ht="14" x14ac:dyDescent="0.2">
      <c r="A801" s="77"/>
      <c r="B801" s="77"/>
      <c r="C801" s="75"/>
      <c r="D801" s="75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 spans="1:26" ht="14" x14ac:dyDescent="0.2">
      <c r="A802" s="77"/>
      <c r="B802" s="77"/>
      <c r="C802" s="75"/>
      <c r="D802" s="75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 spans="1:26" ht="14" x14ac:dyDescent="0.2">
      <c r="A803" s="77"/>
      <c r="B803" s="77"/>
      <c r="C803" s="75"/>
      <c r="D803" s="75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 spans="1:26" ht="14" x14ac:dyDescent="0.2">
      <c r="A804" s="77"/>
      <c r="B804" s="77"/>
      <c r="C804" s="75"/>
      <c r="D804" s="75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 spans="1:26" ht="14" x14ac:dyDescent="0.2">
      <c r="A805" s="77"/>
      <c r="B805" s="77"/>
      <c r="C805" s="75"/>
      <c r="D805" s="75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 spans="1:26" ht="14" x14ac:dyDescent="0.2">
      <c r="A806" s="77"/>
      <c r="B806" s="77"/>
      <c r="C806" s="75"/>
      <c r="D806" s="75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 spans="1:26" ht="14" x14ac:dyDescent="0.2">
      <c r="A807" s="77"/>
      <c r="B807" s="77"/>
      <c r="C807" s="75"/>
      <c r="D807" s="75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 spans="1:26" ht="14" x14ac:dyDescent="0.2">
      <c r="A808" s="77"/>
      <c r="B808" s="77"/>
      <c r="C808" s="75"/>
      <c r="D808" s="75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 spans="1:26" ht="14" x14ac:dyDescent="0.2">
      <c r="A809" s="77"/>
      <c r="B809" s="77"/>
      <c r="C809" s="75"/>
      <c r="D809" s="75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 spans="1:26" ht="14" x14ac:dyDescent="0.2">
      <c r="A810" s="77"/>
      <c r="B810" s="77"/>
      <c r="C810" s="75"/>
      <c r="D810" s="75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 spans="1:26" ht="14" x14ac:dyDescent="0.2">
      <c r="A811" s="77"/>
      <c r="B811" s="77"/>
      <c r="C811" s="75"/>
      <c r="D811" s="75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 spans="1:26" ht="14" x14ac:dyDescent="0.2">
      <c r="A812" s="77"/>
      <c r="B812" s="77"/>
      <c r="C812" s="75"/>
      <c r="D812" s="75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 spans="1:26" ht="14" x14ac:dyDescent="0.2">
      <c r="A813" s="77"/>
      <c r="B813" s="77"/>
      <c r="C813" s="75"/>
      <c r="D813" s="75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 spans="1:26" ht="14" x14ac:dyDescent="0.2">
      <c r="A814" s="77"/>
      <c r="B814" s="77"/>
      <c r="C814" s="75"/>
      <c r="D814" s="75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 spans="1:26" ht="14" x14ac:dyDescent="0.2">
      <c r="A815" s="77"/>
      <c r="B815" s="77"/>
      <c r="C815" s="75"/>
      <c r="D815" s="75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 spans="1:26" ht="14" x14ac:dyDescent="0.2">
      <c r="A816" s="77"/>
      <c r="B816" s="77"/>
      <c r="C816" s="75"/>
      <c r="D816" s="75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 spans="1:26" ht="14" x14ac:dyDescent="0.2">
      <c r="A817" s="77"/>
      <c r="B817" s="77"/>
      <c r="C817" s="75"/>
      <c r="D817" s="75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 spans="1:26" ht="14" x14ac:dyDescent="0.2">
      <c r="A818" s="77"/>
      <c r="B818" s="77"/>
      <c r="C818" s="75"/>
      <c r="D818" s="75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 spans="1:26" ht="14" x14ac:dyDescent="0.2">
      <c r="A819" s="77"/>
      <c r="B819" s="77"/>
      <c r="C819" s="75"/>
      <c r="D819" s="75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 spans="1:26" ht="14" x14ac:dyDescent="0.2">
      <c r="A820" s="77"/>
      <c r="B820" s="77"/>
      <c r="C820" s="75"/>
      <c r="D820" s="75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 spans="1:26" ht="14" x14ac:dyDescent="0.2">
      <c r="A821" s="77"/>
      <c r="B821" s="77"/>
      <c r="C821" s="75"/>
      <c r="D821" s="75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 spans="1:26" ht="14" x14ac:dyDescent="0.2">
      <c r="A822" s="77"/>
      <c r="B822" s="77"/>
      <c r="C822" s="75"/>
      <c r="D822" s="75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 spans="1:26" ht="14" x14ac:dyDescent="0.2">
      <c r="A823" s="77"/>
      <c r="B823" s="77"/>
      <c r="C823" s="75"/>
      <c r="D823" s="75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 spans="1:26" ht="14" x14ac:dyDescent="0.2">
      <c r="A824" s="77"/>
      <c r="B824" s="77"/>
      <c r="C824" s="75"/>
      <c r="D824" s="75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 spans="1:26" ht="14" x14ac:dyDescent="0.2">
      <c r="A825" s="77"/>
      <c r="B825" s="77"/>
      <c r="C825" s="75"/>
      <c r="D825" s="75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 spans="1:26" ht="14" x14ac:dyDescent="0.2">
      <c r="A826" s="77"/>
      <c r="B826" s="77"/>
      <c r="C826" s="75"/>
      <c r="D826" s="75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 spans="1:26" ht="14" x14ac:dyDescent="0.2">
      <c r="A827" s="77"/>
      <c r="B827" s="77"/>
      <c r="C827" s="75"/>
      <c r="D827" s="75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 spans="1:26" ht="14" x14ac:dyDescent="0.2">
      <c r="A828" s="77"/>
      <c r="B828" s="77"/>
      <c r="C828" s="75"/>
      <c r="D828" s="75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 spans="1:26" ht="14" x14ac:dyDescent="0.2">
      <c r="A829" s="77"/>
      <c r="B829" s="77"/>
      <c r="C829" s="75"/>
      <c r="D829" s="75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 spans="1:26" ht="14" x14ac:dyDescent="0.2">
      <c r="A830" s="77"/>
      <c r="B830" s="77"/>
      <c r="C830" s="75"/>
      <c r="D830" s="75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 spans="1:26" ht="14" x14ac:dyDescent="0.2">
      <c r="A831" s="77"/>
      <c r="B831" s="77"/>
      <c r="C831" s="75"/>
      <c r="D831" s="75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 spans="1:26" ht="14" x14ac:dyDescent="0.2">
      <c r="A832" s="77"/>
      <c r="B832" s="77"/>
      <c r="C832" s="75"/>
      <c r="D832" s="75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 spans="1:26" ht="14" x14ac:dyDescent="0.2">
      <c r="A833" s="77"/>
      <c r="B833" s="77"/>
      <c r="C833" s="75"/>
      <c r="D833" s="75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 spans="1:26" ht="14" x14ac:dyDescent="0.2">
      <c r="A834" s="77"/>
      <c r="B834" s="77"/>
      <c r="C834" s="75"/>
      <c r="D834" s="75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 spans="1:26" ht="14" x14ac:dyDescent="0.2">
      <c r="A835" s="77"/>
      <c r="B835" s="77"/>
      <c r="C835" s="75"/>
      <c r="D835" s="75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 spans="1:26" ht="14" x14ac:dyDescent="0.2">
      <c r="A836" s="77"/>
      <c r="B836" s="77"/>
      <c r="C836" s="75"/>
      <c r="D836" s="75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 spans="1:26" ht="14" x14ac:dyDescent="0.2">
      <c r="A837" s="77"/>
      <c r="B837" s="77"/>
      <c r="C837" s="75"/>
      <c r="D837" s="75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 spans="1:26" ht="14" x14ac:dyDescent="0.2">
      <c r="A838" s="77"/>
      <c r="B838" s="77"/>
      <c r="C838" s="75"/>
      <c r="D838" s="75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 spans="1:26" ht="14" x14ac:dyDescent="0.2">
      <c r="A839" s="77"/>
      <c r="B839" s="77"/>
      <c r="C839" s="75"/>
      <c r="D839" s="75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 spans="1:26" ht="14" x14ac:dyDescent="0.2">
      <c r="A840" s="77"/>
      <c r="B840" s="77"/>
      <c r="C840" s="75"/>
      <c r="D840" s="75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 spans="1:26" ht="14" x14ac:dyDescent="0.2">
      <c r="A841" s="77"/>
      <c r="B841" s="77"/>
      <c r="C841" s="75"/>
      <c r="D841" s="75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 spans="1:26" ht="14" x14ac:dyDescent="0.2">
      <c r="A842" s="77"/>
      <c r="B842" s="77"/>
      <c r="C842" s="75"/>
      <c r="D842" s="75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 spans="1:26" ht="14" x14ac:dyDescent="0.2">
      <c r="A843" s="77"/>
      <c r="B843" s="77"/>
      <c r="C843" s="75"/>
      <c r="D843" s="75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 spans="1:26" ht="14" x14ac:dyDescent="0.2">
      <c r="A844" s="77"/>
      <c r="B844" s="77"/>
      <c r="C844" s="75"/>
      <c r="D844" s="75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 spans="1:26" ht="14" x14ac:dyDescent="0.2">
      <c r="A845" s="77"/>
      <c r="B845" s="77"/>
      <c r="C845" s="75"/>
      <c r="D845" s="75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 spans="1:26" ht="14" x14ac:dyDescent="0.2">
      <c r="A846" s="77"/>
      <c r="B846" s="77"/>
      <c r="C846" s="75"/>
      <c r="D846" s="75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 spans="1:26" ht="14" x14ac:dyDescent="0.2">
      <c r="A847" s="77"/>
      <c r="B847" s="77"/>
      <c r="C847" s="75"/>
      <c r="D847" s="75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 spans="1:26" ht="14" x14ac:dyDescent="0.2">
      <c r="A848" s="77"/>
      <c r="B848" s="77"/>
      <c r="C848" s="75"/>
      <c r="D848" s="75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 spans="1:26" ht="14" x14ac:dyDescent="0.2">
      <c r="A849" s="77"/>
      <c r="B849" s="77"/>
      <c r="C849" s="75"/>
      <c r="D849" s="75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 spans="1:26" ht="14" x14ac:dyDescent="0.2">
      <c r="A850" s="77"/>
      <c r="B850" s="77"/>
      <c r="C850" s="75"/>
      <c r="D850" s="75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 spans="1:26" ht="14" x14ac:dyDescent="0.2">
      <c r="A851" s="77"/>
      <c r="B851" s="77"/>
      <c r="C851" s="75"/>
      <c r="D851" s="75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4" x14ac:dyDescent="0.2">
      <c r="A852" s="77"/>
      <c r="B852" s="77"/>
      <c r="C852" s="75"/>
      <c r="D852" s="75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 spans="1:26" ht="14" x14ac:dyDescent="0.2">
      <c r="A853" s="77"/>
      <c r="B853" s="77"/>
      <c r="C853" s="75"/>
      <c r="D853" s="75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 spans="1:26" ht="14" x14ac:dyDescent="0.2">
      <c r="A854" s="77"/>
      <c r="B854" s="77"/>
      <c r="C854" s="75"/>
      <c r="D854" s="75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 spans="1:26" ht="14" x14ac:dyDescent="0.2">
      <c r="A855" s="77"/>
      <c r="B855" s="77"/>
      <c r="C855" s="75"/>
      <c r="D855" s="75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 spans="1:26" ht="14" x14ac:dyDescent="0.2">
      <c r="A856" s="77"/>
      <c r="B856" s="77"/>
      <c r="C856" s="75"/>
      <c r="D856" s="75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 spans="1:26" ht="14" x14ac:dyDescent="0.2">
      <c r="A857" s="77"/>
      <c r="B857" s="77"/>
      <c r="C857" s="75"/>
      <c r="D857" s="75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 spans="1:26" ht="14" x14ac:dyDescent="0.2">
      <c r="A858" s="77"/>
      <c r="B858" s="77"/>
      <c r="C858" s="75"/>
      <c r="D858" s="75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 spans="1:26" ht="14" x14ac:dyDescent="0.2">
      <c r="A859" s="77"/>
      <c r="B859" s="77"/>
      <c r="C859" s="75"/>
      <c r="D859" s="75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 spans="1:26" ht="14" x14ac:dyDescent="0.2">
      <c r="A860" s="77"/>
      <c r="B860" s="77"/>
      <c r="C860" s="75"/>
      <c r="D860" s="75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 spans="1:26" ht="14" x14ac:dyDescent="0.2">
      <c r="A861" s="77"/>
      <c r="B861" s="77"/>
      <c r="C861" s="75"/>
      <c r="D861" s="75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 spans="1:26" ht="14" x14ac:dyDescent="0.2">
      <c r="A862" s="77"/>
      <c r="B862" s="77"/>
      <c r="C862" s="75"/>
      <c r="D862" s="75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 spans="1:26" ht="14" x14ac:dyDescent="0.2">
      <c r="A863" s="77"/>
      <c r="B863" s="77"/>
      <c r="C863" s="75"/>
      <c r="D863" s="75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 spans="1:26" ht="14" x14ac:dyDescent="0.2">
      <c r="A864" s="77"/>
      <c r="B864" s="77"/>
      <c r="C864" s="75"/>
      <c r="D864" s="75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 spans="1:26" ht="14" x14ac:dyDescent="0.2">
      <c r="A865" s="77"/>
      <c r="B865" s="77"/>
      <c r="C865" s="75"/>
      <c r="D865" s="75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 spans="1:26" ht="14" x14ac:dyDescent="0.2">
      <c r="A866" s="77"/>
      <c r="B866" s="77"/>
      <c r="C866" s="75"/>
      <c r="D866" s="75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 spans="1:26" ht="14" x14ac:dyDescent="0.2">
      <c r="A867" s="77"/>
      <c r="B867" s="77"/>
      <c r="C867" s="75"/>
      <c r="D867" s="75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 spans="1:26" ht="14" x14ac:dyDescent="0.2">
      <c r="A868" s="77"/>
      <c r="B868" s="77"/>
      <c r="C868" s="75"/>
      <c r="D868" s="75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 spans="1:26" ht="14" x14ac:dyDescent="0.2">
      <c r="A869" s="77"/>
      <c r="B869" s="77"/>
      <c r="C869" s="75"/>
      <c r="D869" s="75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 spans="1:26" ht="14" x14ac:dyDescent="0.2">
      <c r="A870" s="77"/>
      <c r="B870" s="77"/>
      <c r="C870" s="75"/>
      <c r="D870" s="75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 spans="1:26" ht="14" x14ac:dyDescent="0.2">
      <c r="A871" s="77"/>
      <c r="B871" s="77"/>
      <c r="C871" s="75"/>
      <c r="D871" s="75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 spans="1:26" ht="14" x14ac:dyDescent="0.2">
      <c r="A872" s="77"/>
      <c r="B872" s="77"/>
      <c r="C872" s="75"/>
      <c r="D872" s="75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 spans="1:26" ht="14" x14ac:dyDescent="0.2">
      <c r="A873" s="77"/>
      <c r="B873" s="77"/>
      <c r="C873" s="75"/>
      <c r="D873" s="75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 spans="1:26" ht="14" x14ac:dyDescent="0.2">
      <c r="A874" s="77"/>
      <c r="B874" s="77"/>
      <c r="C874" s="75"/>
      <c r="D874" s="75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 spans="1:26" ht="14" x14ac:dyDescent="0.2">
      <c r="A875" s="77"/>
      <c r="B875" s="77"/>
      <c r="C875" s="75"/>
      <c r="D875" s="75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 spans="1:26" ht="14" x14ac:dyDescent="0.2">
      <c r="A876" s="77"/>
      <c r="B876" s="77"/>
      <c r="C876" s="75"/>
      <c r="D876" s="75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 spans="1:26" ht="14" x14ac:dyDescent="0.2">
      <c r="A877" s="77"/>
      <c r="B877" s="77"/>
      <c r="C877" s="75"/>
      <c r="D877" s="75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 spans="1:26" ht="14" x14ac:dyDescent="0.2">
      <c r="A878" s="77"/>
      <c r="B878" s="77"/>
      <c r="C878" s="75"/>
      <c r="D878" s="75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 spans="1:26" ht="14" x14ac:dyDescent="0.2">
      <c r="A879" s="77"/>
      <c r="B879" s="77"/>
      <c r="C879" s="75"/>
      <c r="D879" s="75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 spans="1:26" ht="14" x14ac:dyDescent="0.2">
      <c r="A880" s="77"/>
      <c r="B880" s="77"/>
      <c r="C880" s="75"/>
      <c r="D880" s="75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 spans="1:26" ht="14" x14ac:dyDescent="0.2">
      <c r="A881" s="77"/>
      <c r="B881" s="77"/>
      <c r="C881" s="75"/>
      <c r="D881" s="75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 spans="1:26" ht="14" x14ac:dyDescent="0.2">
      <c r="A882" s="77"/>
      <c r="B882" s="77"/>
      <c r="C882" s="75"/>
      <c r="D882" s="75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 spans="1:26" ht="14" x14ac:dyDescent="0.2">
      <c r="A883" s="77"/>
      <c r="B883" s="77"/>
      <c r="C883" s="75"/>
      <c r="D883" s="75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 spans="1:26" ht="14" x14ac:dyDescent="0.2">
      <c r="A884" s="77"/>
      <c r="B884" s="77"/>
      <c r="C884" s="75"/>
      <c r="D884" s="75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 spans="1:26" ht="14" x14ac:dyDescent="0.2">
      <c r="A885" s="77"/>
      <c r="B885" s="77"/>
      <c r="C885" s="75"/>
      <c r="D885" s="75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 spans="1:26" ht="14" x14ac:dyDescent="0.2">
      <c r="A886" s="77"/>
      <c r="B886" s="77"/>
      <c r="C886" s="75"/>
      <c r="D886" s="75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 spans="1:26" ht="14" x14ac:dyDescent="0.2">
      <c r="A887" s="77"/>
      <c r="B887" s="77"/>
      <c r="C887" s="75"/>
      <c r="D887" s="75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 spans="1:26" ht="14" x14ac:dyDescent="0.2">
      <c r="A888" s="77"/>
      <c r="B888" s="77"/>
      <c r="C888" s="75"/>
      <c r="D888" s="75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 spans="1:26" ht="14" x14ac:dyDescent="0.2">
      <c r="A889" s="77"/>
      <c r="B889" s="77"/>
      <c r="C889" s="75"/>
      <c r="D889" s="75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 spans="1:26" ht="14" x14ac:dyDescent="0.2">
      <c r="A890" s="77"/>
      <c r="B890" s="77"/>
      <c r="C890" s="75"/>
      <c r="D890" s="75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 spans="1:26" ht="14" x14ac:dyDescent="0.2">
      <c r="A891" s="77"/>
      <c r="B891" s="77"/>
      <c r="C891" s="75"/>
      <c r="D891" s="75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 spans="1:26" ht="14" x14ac:dyDescent="0.2">
      <c r="A892" s="77"/>
      <c r="B892" s="77"/>
      <c r="C892" s="75"/>
      <c r="D892" s="75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 spans="1:26" ht="14" x14ac:dyDescent="0.2">
      <c r="A893" s="77"/>
      <c r="B893" s="77"/>
      <c r="C893" s="75"/>
      <c r="D893" s="75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 spans="1:26" ht="14" x14ac:dyDescent="0.2">
      <c r="A894" s="77"/>
      <c r="B894" s="77"/>
      <c r="C894" s="75"/>
      <c r="D894" s="75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 spans="1:26" ht="14" x14ac:dyDescent="0.2">
      <c r="A895" s="77"/>
      <c r="B895" s="77"/>
      <c r="C895" s="75"/>
      <c r="D895" s="75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 spans="1:26" ht="14" x14ac:dyDescent="0.2">
      <c r="A896" s="77"/>
      <c r="B896" s="77"/>
      <c r="C896" s="75"/>
      <c r="D896" s="75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 spans="1:26" ht="14" x14ac:dyDescent="0.2">
      <c r="A897" s="77"/>
      <c r="B897" s="77"/>
      <c r="C897" s="75"/>
      <c r="D897" s="75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 spans="1:26" ht="14" x14ac:dyDescent="0.2">
      <c r="A898" s="77"/>
      <c r="B898" s="77"/>
      <c r="C898" s="75"/>
      <c r="D898" s="75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 spans="1:26" ht="14" x14ac:dyDescent="0.2">
      <c r="A899" s="77"/>
      <c r="B899" s="77"/>
      <c r="C899" s="75"/>
      <c r="D899" s="75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 spans="1:26" ht="14" x14ac:dyDescent="0.2">
      <c r="A900" s="77"/>
      <c r="B900" s="77"/>
      <c r="C900" s="75"/>
      <c r="D900" s="75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 spans="1:26" ht="14" x14ac:dyDescent="0.2">
      <c r="A901" s="77"/>
      <c r="B901" s="77"/>
      <c r="C901" s="75"/>
      <c r="D901" s="75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 spans="1:26" ht="14" x14ac:dyDescent="0.2">
      <c r="A902" s="77"/>
      <c r="B902" s="77"/>
      <c r="C902" s="75"/>
      <c r="D902" s="75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 spans="1:26" ht="14" x14ac:dyDescent="0.2">
      <c r="A903" s="77"/>
      <c r="B903" s="77"/>
      <c r="C903" s="75"/>
      <c r="D903" s="75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 spans="1:26" ht="14" x14ac:dyDescent="0.2">
      <c r="A904" s="77"/>
      <c r="B904" s="77"/>
      <c r="C904" s="75"/>
      <c r="D904" s="75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 spans="1:26" ht="14" x14ac:dyDescent="0.2">
      <c r="A905" s="77"/>
      <c r="B905" s="77"/>
      <c r="C905" s="75"/>
      <c r="D905" s="75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 spans="1:26" ht="14" x14ac:dyDescent="0.2">
      <c r="A906" s="77"/>
      <c r="B906" s="77"/>
      <c r="C906" s="75"/>
      <c r="D906" s="75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 spans="1:26" ht="14" x14ac:dyDescent="0.2">
      <c r="A907" s="77"/>
      <c r="B907" s="77"/>
      <c r="C907" s="75"/>
      <c r="D907" s="75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 spans="1:26" ht="14" x14ac:dyDescent="0.2">
      <c r="A908" s="77"/>
      <c r="B908" s="77"/>
      <c r="C908" s="75"/>
      <c r="D908" s="75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 spans="1:26" ht="14" x14ac:dyDescent="0.2">
      <c r="A909" s="77"/>
      <c r="B909" s="77"/>
      <c r="C909" s="75"/>
      <c r="D909" s="75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 spans="1:26" ht="14" x14ac:dyDescent="0.2">
      <c r="A910" s="77"/>
      <c r="B910" s="77"/>
      <c r="C910" s="75"/>
      <c r="D910" s="75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 spans="1:26" ht="14" x14ac:dyDescent="0.2">
      <c r="A911" s="77"/>
      <c r="B911" s="77"/>
      <c r="C911" s="75"/>
      <c r="D911" s="75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 spans="1:26" ht="14" x14ac:dyDescent="0.2">
      <c r="A912" s="77"/>
      <c r="B912" s="77"/>
      <c r="C912" s="75"/>
      <c r="D912" s="75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 spans="1:26" ht="14" x14ac:dyDescent="0.2">
      <c r="A913" s="77"/>
      <c r="B913" s="77"/>
      <c r="C913" s="75"/>
      <c r="D913" s="75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 spans="1:26" ht="14" x14ac:dyDescent="0.2">
      <c r="A914" s="77"/>
      <c r="B914" s="77"/>
      <c r="C914" s="75"/>
      <c r="D914" s="75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 spans="1:26" ht="14" x14ac:dyDescent="0.2">
      <c r="A915" s="77"/>
      <c r="B915" s="77"/>
      <c r="C915" s="75"/>
      <c r="D915" s="75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 spans="1:26" ht="14" x14ac:dyDescent="0.2">
      <c r="A916" s="77"/>
      <c r="B916" s="77"/>
      <c r="C916" s="75"/>
      <c r="D916" s="75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 spans="1:26" ht="14" x14ac:dyDescent="0.2">
      <c r="A917" s="77"/>
      <c r="B917" s="77"/>
      <c r="C917" s="75"/>
      <c r="D917" s="75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 spans="1:26" ht="14" x14ac:dyDescent="0.2">
      <c r="A918" s="77"/>
      <c r="B918" s="77"/>
      <c r="C918" s="75"/>
      <c r="D918" s="75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 spans="1:26" ht="14" x14ac:dyDescent="0.2">
      <c r="A919" s="77"/>
      <c r="B919" s="77"/>
      <c r="C919" s="75"/>
      <c r="D919" s="75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 spans="1:26" ht="14" x14ac:dyDescent="0.2">
      <c r="A920" s="77"/>
      <c r="B920" s="77"/>
      <c r="C920" s="75"/>
      <c r="D920" s="75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 spans="1:26" ht="14" x14ac:dyDescent="0.2">
      <c r="A921" s="77"/>
      <c r="B921" s="77"/>
      <c r="C921" s="75"/>
      <c r="D921" s="75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 spans="1:26" ht="14" x14ac:dyDescent="0.2">
      <c r="A922" s="77"/>
      <c r="B922" s="77"/>
      <c r="C922" s="75"/>
      <c r="D922" s="75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 spans="1:26" ht="14" x14ac:dyDescent="0.2">
      <c r="A923" s="77"/>
      <c r="B923" s="77"/>
      <c r="C923" s="75"/>
      <c r="D923" s="75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 spans="1:26" ht="14" x14ac:dyDescent="0.2">
      <c r="A924" s="77"/>
      <c r="B924" s="77"/>
      <c r="C924" s="75"/>
      <c r="D924" s="75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 spans="1:26" ht="14" x14ac:dyDescent="0.2">
      <c r="A925" s="77"/>
      <c r="B925" s="77"/>
      <c r="C925" s="75"/>
      <c r="D925" s="75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 spans="1:26" ht="14" x14ac:dyDescent="0.2">
      <c r="A926" s="77"/>
      <c r="B926" s="77"/>
      <c r="C926" s="75"/>
      <c r="D926" s="75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 spans="1:26" ht="14" x14ac:dyDescent="0.2">
      <c r="A927" s="77"/>
      <c r="B927" s="77"/>
      <c r="C927" s="75"/>
      <c r="D927" s="75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 spans="1:26" ht="14" x14ac:dyDescent="0.2">
      <c r="A928" s="77"/>
      <c r="B928" s="77"/>
      <c r="C928" s="75"/>
      <c r="D928" s="75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 spans="1:26" ht="14" x14ac:dyDescent="0.2">
      <c r="A929" s="77"/>
      <c r="B929" s="77"/>
      <c r="C929" s="75"/>
      <c r="D929" s="75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 spans="1:26" ht="14" x14ac:dyDescent="0.2">
      <c r="A930" s="77"/>
      <c r="B930" s="77"/>
      <c r="C930" s="75"/>
      <c r="D930" s="75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 spans="1:26" ht="14" x14ac:dyDescent="0.2">
      <c r="A931" s="77"/>
      <c r="B931" s="77"/>
      <c r="C931" s="75"/>
      <c r="D931" s="75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 spans="1:26" ht="14" x14ac:dyDescent="0.2">
      <c r="A932" s="77"/>
      <c r="B932" s="77"/>
      <c r="C932" s="75"/>
      <c r="D932" s="75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 spans="1:26" ht="14" x14ac:dyDescent="0.2">
      <c r="A933" s="77"/>
      <c r="B933" s="77"/>
      <c r="C933" s="75"/>
      <c r="D933" s="75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 spans="1:26" ht="14" x14ac:dyDescent="0.2">
      <c r="A934" s="77"/>
      <c r="B934" s="77"/>
      <c r="C934" s="75"/>
      <c r="D934" s="75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 spans="1:26" ht="14" x14ac:dyDescent="0.2">
      <c r="A935" s="77"/>
      <c r="B935" s="77"/>
      <c r="C935" s="75"/>
      <c r="D935" s="75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4" x14ac:dyDescent="0.2">
      <c r="A936" s="77"/>
      <c r="B936" s="77"/>
      <c r="C936" s="75"/>
      <c r="D936" s="75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 spans="1:26" ht="14" x14ac:dyDescent="0.2">
      <c r="A937" s="77"/>
      <c r="B937" s="77"/>
      <c r="C937" s="75"/>
      <c r="D937" s="75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 spans="1:26" ht="14" x14ac:dyDescent="0.2">
      <c r="A938" s="77"/>
      <c r="B938" s="77"/>
      <c r="C938" s="75"/>
      <c r="D938" s="75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 spans="1:26" ht="14" x14ac:dyDescent="0.2">
      <c r="A939" s="77"/>
      <c r="B939" s="77"/>
      <c r="C939" s="75"/>
      <c r="D939" s="75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 spans="1:26" ht="14" x14ac:dyDescent="0.2">
      <c r="A940" s="77"/>
      <c r="B940" s="77"/>
      <c r="C940" s="75"/>
      <c r="D940" s="75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 spans="1:26" ht="14" x14ac:dyDescent="0.2">
      <c r="A941" s="77"/>
      <c r="B941" s="77"/>
      <c r="C941" s="75"/>
      <c r="D941" s="75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 spans="1:26" ht="14" x14ac:dyDescent="0.2">
      <c r="A942" s="77"/>
      <c r="B942" s="77"/>
      <c r="C942" s="75"/>
      <c r="D942" s="75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 spans="1:26" ht="14" x14ac:dyDescent="0.2">
      <c r="A943" s="77"/>
      <c r="B943" s="77"/>
      <c r="C943" s="75"/>
      <c r="D943" s="75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 spans="1:26" ht="14" x14ac:dyDescent="0.2">
      <c r="A944" s="77"/>
      <c r="B944" s="77"/>
      <c r="C944" s="75"/>
      <c r="D944" s="75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 spans="1:26" ht="14" x14ac:dyDescent="0.2">
      <c r="A945" s="77"/>
      <c r="B945" s="77"/>
      <c r="C945" s="75"/>
      <c r="D945" s="75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 spans="1:26" ht="14" x14ac:dyDescent="0.2">
      <c r="A946" s="77"/>
      <c r="B946" s="77"/>
      <c r="C946" s="75"/>
      <c r="D946" s="75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 spans="1:26" ht="14" x14ac:dyDescent="0.2">
      <c r="A947" s="77"/>
      <c r="B947" s="77"/>
      <c r="C947" s="75"/>
      <c r="D947" s="75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 spans="1:26" ht="14" x14ac:dyDescent="0.2">
      <c r="A948" s="77"/>
      <c r="B948" s="77"/>
      <c r="C948" s="75"/>
      <c r="D948" s="75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 spans="1:26" ht="14" x14ac:dyDescent="0.2">
      <c r="A949" s="77"/>
      <c r="B949" s="77"/>
      <c r="C949" s="75"/>
      <c r="D949" s="75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 spans="1:26" ht="14" x14ac:dyDescent="0.2">
      <c r="A950" s="77"/>
      <c r="B950" s="77"/>
      <c r="C950" s="75"/>
      <c r="D950" s="75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 spans="1:26" ht="14" x14ac:dyDescent="0.2">
      <c r="A951" s="77"/>
      <c r="B951" s="77"/>
      <c r="C951" s="75"/>
      <c r="D951" s="75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 spans="1:26" ht="14" x14ac:dyDescent="0.2">
      <c r="A952" s="77"/>
      <c r="B952" s="77"/>
      <c r="C952" s="75"/>
      <c r="D952" s="75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 spans="1:26" ht="14" x14ac:dyDescent="0.2">
      <c r="A953" s="77"/>
      <c r="B953" s="77"/>
      <c r="C953" s="75"/>
      <c r="D953" s="75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 spans="1:26" ht="14" x14ac:dyDescent="0.2">
      <c r="A954" s="77"/>
      <c r="B954" s="77"/>
      <c r="C954" s="75"/>
      <c r="D954" s="75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 spans="1:26" ht="14" x14ac:dyDescent="0.2">
      <c r="A955" s="77"/>
      <c r="B955" s="77"/>
      <c r="C955" s="75"/>
      <c r="D955" s="75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 spans="1:26" ht="14" x14ac:dyDescent="0.2">
      <c r="A956" s="77"/>
      <c r="B956" s="77"/>
      <c r="C956" s="75"/>
      <c r="D956" s="75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 spans="1:26" ht="14" x14ac:dyDescent="0.2">
      <c r="A957" s="77"/>
      <c r="B957" s="77"/>
      <c r="C957" s="75"/>
      <c r="D957" s="75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 spans="1:26" ht="14" x14ac:dyDescent="0.2">
      <c r="A958" s="77"/>
      <c r="B958" s="77"/>
      <c r="C958" s="75"/>
      <c r="D958" s="75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 spans="1:26" ht="14" x14ac:dyDescent="0.2">
      <c r="A959" s="77"/>
      <c r="B959" s="77"/>
      <c r="C959" s="75"/>
      <c r="D959" s="75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 spans="1:26" ht="14" x14ac:dyDescent="0.2">
      <c r="A960" s="77"/>
      <c r="B960" s="77"/>
      <c r="C960" s="75"/>
      <c r="D960" s="75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 spans="1:26" ht="14" x14ac:dyDescent="0.2">
      <c r="A961" s="77"/>
      <c r="B961" s="77"/>
      <c r="C961" s="75"/>
      <c r="D961" s="75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 spans="1:26" ht="14" x14ac:dyDescent="0.2">
      <c r="A962" s="77"/>
      <c r="B962" s="77"/>
      <c r="C962" s="75"/>
      <c r="D962" s="75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 spans="1:26" ht="14" x14ac:dyDescent="0.2">
      <c r="A963" s="77"/>
      <c r="B963" s="77"/>
      <c r="C963" s="75"/>
      <c r="D963" s="75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 spans="1:26" ht="14" x14ac:dyDescent="0.2">
      <c r="A964" s="77"/>
      <c r="B964" s="77"/>
      <c r="C964" s="75"/>
      <c r="D964" s="75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 spans="1:26" ht="14" x14ac:dyDescent="0.2">
      <c r="A965" s="77"/>
      <c r="B965" s="77"/>
      <c r="C965" s="75"/>
      <c r="D965" s="75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 spans="1:26" ht="14" x14ac:dyDescent="0.2">
      <c r="A966" s="77"/>
      <c r="B966" s="77"/>
      <c r="C966" s="75"/>
      <c r="D966" s="75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 spans="1:26" ht="14" x14ac:dyDescent="0.2">
      <c r="A967" s="77"/>
      <c r="B967" s="77"/>
      <c r="C967" s="75"/>
      <c r="D967" s="75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 spans="1:26" ht="14" x14ac:dyDescent="0.2">
      <c r="A968" s="77"/>
      <c r="B968" s="77"/>
      <c r="C968" s="75"/>
      <c r="D968" s="75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 spans="1:26" ht="14" x14ac:dyDescent="0.2">
      <c r="A969" s="77"/>
      <c r="B969" s="77"/>
      <c r="C969" s="75"/>
      <c r="D969" s="75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 spans="1:26" ht="14" x14ac:dyDescent="0.2">
      <c r="A970" s="77"/>
      <c r="B970" s="77"/>
      <c r="C970" s="75"/>
      <c r="D970" s="75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 spans="1:26" ht="14" x14ac:dyDescent="0.2">
      <c r="A971" s="77"/>
      <c r="B971" s="77"/>
      <c r="C971" s="75"/>
      <c r="D971" s="75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 spans="1:26" ht="14" x14ac:dyDescent="0.2">
      <c r="A972" s="77"/>
      <c r="B972" s="77"/>
      <c r="C972" s="75"/>
      <c r="D972" s="75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 spans="1:26" ht="14" x14ac:dyDescent="0.2">
      <c r="A973" s="77"/>
      <c r="B973" s="77"/>
      <c r="C973" s="75"/>
      <c r="D973" s="75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 spans="1:26" ht="14" x14ac:dyDescent="0.2">
      <c r="A974" s="77"/>
      <c r="B974" s="77"/>
      <c r="C974" s="75"/>
      <c r="D974" s="75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 spans="1:26" ht="14" x14ac:dyDescent="0.2">
      <c r="A975" s="77"/>
      <c r="B975" s="77"/>
      <c r="C975" s="75"/>
      <c r="D975" s="75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 spans="1:26" ht="14" x14ac:dyDescent="0.2">
      <c r="A976" s="77"/>
      <c r="B976" s="77"/>
      <c r="C976" s="75"/>
      <c r="D976" s="75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 spans="1:26" ht="14" x14ac:dyDescent="0.2">
      <c r="A977" s="77"/>
      <c r="B977" s="77"/>
      <c r="C977" s="75"/>
      <c r="D977" s="75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 spans="1:26" ht="14" x14ac:dyDescent="0.2">
      <c r="A978" s="77"/>
      <c r="B978" s="77"/>
      <c r="C978" s="75"/>
      <c r="D978" s="75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 spans="1:26" ht="14" x14ac:dyDescent="0.2">
      <c r="A979" s="77"/>
      <c r="B979" s="77"/>
      <c r="C979" s="75"/>
      <c r="D979" s="75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 spans="1:26" ht="14" x14ac:dyDescent="0.2">
      <c r="A980" s="77"/>
      <c r="B980" s="77"/>
      <c r="C980" s="75"/>
      <c r="D980" s="75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 spans="1:26" ht="14" x14ac:dyDescent="0.2">
      <c r="A981" s="77"/>
      <c r="B981" s="77"/>
      <c r="C981" s="75"/>
      <c r="D981" s="75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 spans="1:26" ht="14" x14ac:dyDescent="0.2">
      <c r="A982" s="77"/>
      <c r="B982" s="77"/>
      <c r="C982" s="75"/>
      <c r="D982" s="75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 spans="1:26" ht="14" x14ac:dyDescent="0.2">
      <c r="A983" s="77"/>
      <c r="B983" s="77"/>
      <c r="C983" s="75"/>
      <c r="D983" s="75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4" x14ac:dyDescent="0.2">
      <c r="A984" s="77"/>
      <c r="B984" s="77"/>
      <c r="C984" s="75"/>
      <c r="D984" s="75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4" x14ac:dyDescent="0.2">
      <c r="A985" s="77"/>
      <c r="B985" s="77"/>
      <c r="C985" s="75"/>
      <c r="D985" s="75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4" x14ac:dyDescent="0.2">
      <c r="A986" s="77"/>
      <c r="B986" s="77"/>
      <c r="C986" s="75"/>
      <c r="D986" s="75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ht="14" x14ac:dyDescent="0.2">
      <c r="A987" s="77"/>
      <c r="B987" s="77"/>
      <c r="C987" s="75"/>
      <c r="D987" s="75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 spans="1:26" ht="14" x14ac:dyDescent="0.2">
      <c r="A988" s="77"/>
      <c r="B988" s="77"/>
      <c r="C988" s="75"/>
      <c r="D988" s="75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 spans="1:26" ht="14" x14ac:dyDescent="0.2">
      <c r="A989" s="77"/>
      <c r="B989" s="77"/>
      <c r="C989" s="75"/>
      <c r="D989" s="75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 spans="1:26" ht="14" x14ac:dyDescent="0.2">
      <c r="A990" s="77"/>
      <c r="B990" s="77"/>
      <c r="C990" s="75"/>
      <c r="D990" s="75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 spans="1:26" ht="14" x14ac:dyDescent="0.2">
      <c r="A991" s="77"/>
      <c r="B991" s="77"/>
      <c r="C991" s="75"/>
      <c r="D991" s="75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 spans="1:26" ht="14" x14ac:dyDescent="0.2">
      <c r="A992" s="77"/>
      <c r="B992" s="77"/>
      <c r="C992" s="75"/>
      <c r="D992" s="75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 spans="1:26" ht="14" x14ac:dyDescent="0.2">
      <c r="A993" s="77"/>
      <c r="B993" s="77"/>
      <c r="C993" s="75"/>
      <c r="D993" s="75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 spans="1:26" ht="14" x14ac:dyDescent="0.2">
      <c r="A994" s="77"/>
      <c r="B994" s="77"/>
      <c r="C994" s="75"/>
      <c r="D994" s="75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 spans="1:26" ht="14" x14ac:dyDescent="0.2">
      <c r="A995" s="77"/>
      <c r="B995" s="77"/>
      <c r="C995" s="75"/>
      <c r="D995" s="75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 spans="1:26" ht="14" x14ac:dyDescent="0.2">
      <c r="A996" s="77"/>
      <c r="B996" s="77"/>
      <c r="C996" s="75"/>
      <c r="D996" s="75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 spans="1:26" ht="14" x14ac:dyDescent="0.2">
      <c r="A997" s="77"/>
      <c r="B997" s="77"/>
      <c r="C997" s="75"/>
      <c r="D997" s="75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 spans="1:26" ht="14" x14ac:dyDescent="0.2">
      <c r="A998" s="77"/>
      <c r="B998" s="77"/>
      <c r="C998" s="75"/>
      <c r="D998" s="75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 spans="1:26" ht="14" x14ac:dyDescent="0.2">
      <c r="A999" s="77"/>
      <c r="B999" s="77"/>
      <c r="C999" s="75"/>
      <c r="D999" s="75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 spans="1:26" ht="14" x14ac:dyDescent="0.2">
      <c r="A1000" s="77"/>
      <c r="B1000" s="77"/>
      <c r="C1000" s="75"/>
      <c r="D1000" s="75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  <row r="1001" spans="1:26" ht="14" x14ac:dyDescent="0.2">
      <c r="A1001" s="77"/>
      <c r="B1001" s="77"/>
      <c r="C1001" s="75"/>
      <c r="D1001" s="75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</row>
    <row r="1002" spans="1:26" ht="14" x14ac:dyDescent="0.2">
      <c r="A1002" s="77"/>
      <c r="B1002" s="77"/>
      <c r="C1002" s="75"/>
      <c r="D1002" s="75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</row>
    <row r="1003" spans="1:26" ht="14" x14ac:dyDescent="0.2">
      <c r="A1003" s="77"/>
      <c r="B1003" s="77"/>
      <c r="C1003" s="75"/>
      <c r="D1003" s="75"/>
      <c r="E1003" s="77"/>
      <c r="F1003" s="77"/>
      <c r="G1003" s="77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</row>
    <row r="1004" spans="1:26" ht="14" x14ac:dyDescent="0.2">
      <c r="A1004" s="77"/>
      <c r="B1004" s="77"/>
      <c r="C1004" s="75"/>
      <c r="D1004" s="75"/>
      <c r="E1004" s="77"/>
      <c r="F1004" s="77"/>
      <c r="G1004" s="77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</row>
    <row r="1005" spans="1:26" ht="14" x14ac:dyDescent="0.2">
      <c r="A1005" s="77"/>
      <c r="B1005" s="77"/>
      <c r="C1005" s="75"/>
      <c r="D1005" s="75"/>
      <c r="E1005" s="77"/>
      <c r="F1005" s="77"/>
      <c r="G1005" s="77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</row>
    <row r="1006" spans="1:26" ht="14" x14ac:dyDescent="0.2">
      <c r="A1006" s="77"/>
      <c r="B1006" s="77"/>
      <c r="C1006" s="75"/>
      <c r="D1006" s="75"/>
      <c r="E1006" s="77"/>
      <c r="F1006" s="77"/>
      <c r="G1006" s="77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</row>
  </sheetData>
  <dataValidations count="2">
    <dataValidation type="list" allowBlank="1" showErrorMessage="1" sqref="C2:C23 C26:C41" xr:uid="{00000000-0002-0000-0200-000000000000}">
      <formula1>"Желательный,Стандартный,Критический,Блокирующий"</formula1>
    </dataValidation>
    <dataValidation type="list" allowBlank="1" showErrorMessage="1" sqref="D2:D23 D26:D41" xr:uid="{00000000-0002-0000-0200-000001000000}">
      <formula1>"Открыт,Закрыт,Готов для тестирования,Переоткрыт,Заблокирован"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Чек-лист</vt:lpstr>
      <vt:lpstr>Данные валидации</vt:lpstr>
      <vt:lpstr>Баги вне тестовой документации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Vlad Vlad</cp:lastModifiedBy>
  <dcterms:created xsi:type="dcterms:W3CDTF">2026-02-17T04:32:25Z</dcterms:created>
  <dcterms:modified xsi:type="dcterms:W3CDTF">2026-02-17T15:12:00Z</dcterms:modified>
</cp:coreProperties>
</file>